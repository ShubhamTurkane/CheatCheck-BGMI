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_Data" sheetId="1" state="visible" r:id="rId3"/>
    <sheet name="Mode_Benchmarks" sheetId="2" state="visible" r:id="rId4"/>
    <sheet name="Feature_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<sst xmlns="http://schemas.openxmlformats.org/spreadsheetml/2006/main" count="3112" uniqueCount="1096">
  <si>
    <t xml:space="preserve">Player_ID</t>
  </si>
  <si>
    <t xml:space="preserve">Mode</t>
  </si>
  <si>
    <t xml:space="preserve">Matches_Played</t>
  </si>
  <si>
    <t xml:space="preserve">Wins</t>
  </si>
  <si>
    <t xml:space="preserve">Top10_Finishes</t>
  </si>
  <si>
    <t xml:space="preserve">Total_Kills</t>
  </si>
  <si>
    <t xml:space="preserve">Highest_Kills_Single_Match</t>
  </si>
  <si>
    <t xml:space="preserve">Total_Damage</t>
  </si>
  <si>
    <t xml:space="preserve">Headshot_Kills</t>
  </si>
  <si>
    <t xml:space="preserve">Shots_Fired</t>
  </si>
  <si>
    <t xml:space="preserve">Shots_Hit</t>
  </si>
  <si>
    <t xml:space="preserve">Total_Assists</t>
  </si>
  <si>
    <t xml:space="preserve">Win_Ratio</t>
  </si>
  <si>
    <t xml:space="preserve">Top10_Ratio</t>
  </si>
  <si>
    <t xml:space="preserve">KD_Ratio</t>
  </si>
  <si>
    <t xml:space="preserve">Avg_Kills_Per_Match</t>
  </si>
  <si>
    <t xml:space="preserve">Avg_Damage_Per_Match</t>
  </si>
  <si>
    <t xml:space="preserve">Headshot_Ratio</t>
  </si>
  <si>
    <t xml:space="preserve">Accuracy</t>
  </si>
  <si>
    <t xml:space="preserve">Label</t>
  </si>
  <si>
    <t xml:space="preserve">Dataset Summary</t>
  </si>
  <si>
    <t xml:space="preserve">P00779</t>
  </si>
  <si>
    <t xml:space="preserve">Squad</t>
  </si>
  <si>
    <t xml:space="preserve">Legit</t>
  </si>
  <si>
    <t xml:space="preserve">Total Records</t>
  </si>
  <si>
    <t xml:space="preserve">P00335</t>
  </si>
  <si>
    <t xml:space="preserve">Duo</t>
  </si>
  <si>
    <t xml:space="preserve">Legit Count</t>
  </si>
  <si>
    <t xml:space="preserve">P00272</t>
  </si>
  <si>
    <t xml:space="preserve">Solo</t>
  </si>
  <si>
    <t xml:space="preserve">Hacker</t>
  </si>
  <si>
    <t xml:space="preserve">Hacker Count</t>
  </si>
  <si>
    <t xml:space="preserve">P00803</t>
  </si>
  <si>
    <t xml:space="preserve">Avg Accuracy (Legit)</t>
  </si>
  <si>
    <t xml:space="preserve">P00217</t>
  </si>
  <si>
    <t xml:space="preserve">Avg Accuracy (Hacker)</t>
  </si>
  <si>
    <t xml:space="preserve">P00409</t>
  </si>
  <si>
    <t xml:space="preserve">Avg Headshot% (Legit)</t>
  </si>
  <si>
    <t xml:space="preserve">P00813</t>
  </si>
  <si>
    <t xml:space="preserve">Avg Headshot% (Hacker)</t>
  </si>
  <si>
    <t xml:space="preserve">P00095</t>
  </si>
  <si>
    <t xml:space="preserve">Avg KD (Legit)</t>
  </si>
  <si>
    <t xml:space="preserve">P00488</t>
  </si>
  <si>
    <t xml:space="preserve">Avg KD (Hacker)</t>
  </si>
  <si>
    <t xml:space="preserve">P00171</t>
  </si>
  <si>
    <t xml:space="preserve">P00025</t>
  </si>
  <si>
    <t xml:space="preserve">P00243</t>
  </si>
  <si>
    <t xml:space="preserve">P00543</t>
  </si>
  <si>
    <t xml:space="preserve">P00931</t>
  </si>
  <si>
    <t xml:space="preserve">P00887</t>
  </si>
  <si>
    <t xml:space="preserve">P00427</t>
  </si>
  <si>
    <t xml:space="preserve">P00126</t>
  </si>
  <si>
    <t xml:space="preserve">P00454</t>
  </si>
  <si>
    <t xml:space="preserve">P00651</t>
  </si>
  <si>
    <t xml:space="preserve">P00914</t>
  </si>
  <si>
    <t xml:space="preserve">P00169</t>
  </si>
  <si>
    <t xml:space="preserve">P00777</t>
  </si>
  <si>
    <t xml:space="preserve">P00573</t>
  </si>
  <si>
    <t xml:space="preserve">P00849</t>
  </si>
  <si>
    <t xml:space="preserve">P00876</t>
  </si>
  <si>
    <t xml:space="preserve">P00591</t>
  </si>
  <si>
    <t xml:space="preserve">P00026</t>
  </si>
  <si>
    <t xml:space="preserve">P00485</t>
  </si>
  <si>
    <t xml:space="preserve">P00706</t>
  </si>
  <si>
    <t xml:space="preserve">P00890</t>
  </si>
  <si>
    <t xml:space="preserve">P00682</t>
  </si>
  <si>
    <t xml:space="preserve">P00014</t>
  </si>
  <si>
    <t xml:space="preserve">P00880</t>
  </si>
  <si>
    <t xml:space="preserve">P00278</t>
  </si>
  <si>
    <t xml:space="preserve">P00317</t>
  </si>
  <si>
    <t xml:space="preserve">P00300</t>
  </si>
  <si>
    <t xml:space="preserve">P00114</t>
  </si>
  <si>
    <t xml:space="preserve">P00963</t>
  </si>
  <si>
    <t xml:space="preserve">P00570</t>
  </si>
  <si>
    <t xml:space="preserve">P00061</t>
  </si>
  <si>
    <t xml:space="preserve">P00714</t>
  </si>
  <si>
    <t xml:space="preserve">P00908</t>
  </si>
  <si>
    <t xml:space="preserve">P00716</t>
  </si>
  <si>
    <t xml:space="preserve">P00726</t>
  </si>
  <si>
    <t xml:space="preserve">P00708</t>
  </si>
  <si>
    <t xml:space="preserve">P00759</t>
  </si>
  <si>
    <t xml:space="preserve">P00340</t>
  </si>
  <si>
    <t xml:space="preserve">P00734</t>
  </si>
  <si>
    <t xml:space="preserve">P00980</t>
  </si>
  <si>
    <t xml:space="preserve">P00100</t>
  </si>
  <si>
    <t xml:space="preserve">P00961</t>
  </si>
  <si>
    <t xml:space="preserve">P00290</t>
  </si>
  <si>
    <t xml:space="preserve">P00975</t>
  </si>
  <si>
    <t xml:space="preserve">P00035</t>
  </si>
  <si>
    <t xml:space="preserve">P00054</t>
  </si>
  <si>
    <t xml:space="preserve">P00320</t>
  </si>
  <si>
    <t xml:space="preserve">P00957</t>
  </si>
  <si>
    <t xml:space="preserve">P00907</t>
  </si>
  <si>
    <t xml:space="preserve">P00787</t>
  </si>
  <si>
    <t xml:space="preserve">P00942</t>
  </si>
  <si>
    <t xml:space="preserve">P00702</t>
  </si>
  <si>
    <t xml:space="preserve">P00455</t>
  </si>
  <si>
    <t xml:space="preserve">P00363</t>
  </si>
  <si>
    <t xml:space="preserve">P00998</t>
  </si>
  <si>
    <t xml:space="preserve">P00165</t>
  </si>
  <si>
    <t xml:space="preserve">P00474</t>
  </si>
  <si>
    <t xml:space="preserve">P00378</t>
  </si>
  <si>
    <t xml:space="preserve">P00373</t>
  </si>
  <si>
    <t xml:space="preserve">P00309</t>
  </si>
  <si>
    <t xml:space="preserve">P00846</t>
  </si>
  <si>
    <t xml:space="preserve">P00588</t>
  </si>
  <si>
    <t xml:space="preserve">P00906</t>
  </si>
  <si>
    <t xml:space="preserve">P00348</t>
  </si>
  <si>
    <t xml:space="preserve">P00690</t>
  </si>
  <si>
    <t xml:space="preserve">P00109</t>
  </si>
  <si>
    <t xml:space="preserve">P00694</t>
  </si>
  <si>
    <t xml:space="preserve">P00257</t>
  </si>
  <si>
    <t xml:space="preserve">P00719</t>
  </si>
  <si>
    <t xml:space="preserve">P00791</t>
  </si>
  <si>
    <t xml:space="preserve">P00473</t>
  </si>
  <si>
    <t xml:space="preserve">P00603</t>
  </si>
  <si>
    <t xml:space="preserve">P00811</t>
  </si>
  <si>
    <t xml:space="preserve">P00930</t>
  </si>
  <si>
    <t xml:space="preserve">P00352</t>
  </si>
  <si>
    <t xml:space="preserve">P00542</t>
  </si>
  <si>
    <t xml:space="preserve">P00229</t>
  </si>
  <si>
    <t xml:space="preserve">P00205</t>
  </si>
  <si>
    <t xml:space="preserve">P00625</t>
  </si>
  <si>
    <t xml:space="preserve">P00783</t>
  </si>
  <si>
    <t xml:space="preserve">P00967</t>
  </si>
  <si>
    <t xml:space="preserve">P00154</t>
  </si>
  <si>
    <t xml:space="preserve">P00677</t>
  </si>
  <si>
    <t xml:space="preserve">P00027</t>
  </si>
  <si>
    <t xml:space="preserve">P00058</t>
  </si>
  <si>
    <t xml:space="preserve">P00047</t>
  </si>
  <si>
    <t xml:space="preserve">P00099</t>
  </si>
  <si>
    <t xml:space="preserve">P00972</t>
  </si>
  <si>
    <t xml:space="preserve">P00740</t>
  </si>
  <si>
    <t xml:space="preserve">P00298</t>
  </si>
  <si>
    <t xml:space="preserve">P00973</t>
  </si>
  <si>
    <t xml:space="preserve">P00494</t>
  </si>
  <si>
    <t xml:space="preserve">P00141</t>
  </si>
  <si>
    <t xml:space="preserve">P00654</t>
  </si>
  <si>
    <t xml:space="preserve">P00644</t>
  </si>
  <si>
    <t xml:space="preserve">P00423</t>
  </si>
  <si>
    <t xml:space="preserve">P00260</t>
  </si>
  <si>
    <t xml:space="preserve">P00889</t>
  </si>
  <si>
    <t xml:space="preserve">P00064</t>
  </si>
  <si>
    <t xml:space="preserve">P00886</t>
  </si>
  <si>
    <t xml:space="preserve">P00955</t>
  </si>
  <si>
    <t xml:space="preserve">P00730</t>
  </si>
  <si>
    <t xml:space="preserve">P00510</t>
  </si>
  <si>
    <t xml:space="preserve">P01000</t>
  </si>
  <si>
    <t xml:space="preserve">P00686</t>
  </si>
  <si>
    <t xml:space="preserve">P00782</t>
  </si>
  <si>
    <t xml:space="preserve">P00147</t>
  </si>
  <si>
    <t xml:space="preserve">P00466</t>
  </si>
  <si>
    <t xml:space="preserve">P00918</t>
  </si>
  <si>
    <t xml:space="preserve">P00968</t>
  </si>
  <si>
    <t xml:space="preserve">P00271</t>
  </si>
  <si>
    <t xml:space="preserve">P00545</t>
  </si>
  <si>
    <t xml:space="preserve">P00404</t>
  </si>
  <si>
    <t xml:space="preserve">P00111</t>
  </si>
  <si>
    <t xml:space="preserve">P00172</t>
  </si>
  <si>
    <t xml:space="preserve">P00952</t>
  </si>
  <si>
    <t xml:space="preserve">P00802</t>
  </si>
  <si>
    <t xml:space="preserve">P00899</t>
  </si>
  <si>
    <t xml:space="preserve">P00010</t>
  </si>
  <si>
    <t xml:space="preserve">P00768</t>
  </si>
  <si>
    <t xml:space="preserve">P00206</t>
  </si>
  <si>
    <t xml:space="preserve">P00512</t>
  </si>
  <si>
    <t xml:space="preserve">P00744</t>
  </si>
  <si>
    <t xml:space="preserve">P00331</t>
  </si>
  <si>
    <t xml:space="preserve">P00933</t>
  </si>
  <si>
    <t xml:space="preserve">P00358</t>
  </si>
  <si>
    <t xml:space="preserve">P00062</t>
  </si>
  <si>
    <t xml:space="preserve">P00707</t>
  </si>
  <si>
    <t xml:space="preserve">P00238</t>
  </si>
  <si>
    <t xml:space="preserve">P00780</t>
  </si>
  <si>
    <t xml:space="preserve">P00985</t>
  </si>
  <si>
    <t xml:space="preserve">P00809</t>
  </si>
  <si>
    <t xml:space="preserve">P00362</t>
  </si>
  <si>
    <t xml:space="preserve">P00587</t>
  </si>
  <si>
    <t xml:space="preserve">P00532</t>
  </si>
  <si>
    <t xml:space="preserve">P00531</t>
  </si>
  <si>
    <t xml:space="preserve">P00110</t>
  </si>
  <si>
    <t xml:space="preserve">P00858</t>
  </si>
  <si>
    <t xml:space="preserve">P00306</t>
  </si>
  <si>
    <t xml:space="preserve">P00468</t>
  </si>
  <si>
    <t xml:space="preserve">P00737</t>
  </si>
  <si>
    <t xml:space="preserve">P00149</t>
  </si>
  <si>
    <t xml:space="preserve">P00939</t>
  </si>
  <si>
    <t xml:space="preserve">P00658</t>
  </si>
  <si>
    <t xml:space="preserve">P00837</t>
  </si>
  <si>
    <t xml:space="preserve">P00999</t>
  </si>
  <si>
    <t xml:space="preserve">P00486</t>
  </si>
  <si>
    <t xml:space="preserve">P00660</t>
  </si>
  <si>
    <t xml:space="preserve">P00129</t>
  </si>
  <si>
    <t xml:space="preserve">P00592</t>
  </si>
  <si>
    <t xml:space="preserve">P00559</t>
  </si>
  <si>
    <t xml:space="preserve">P00598</t>
  </si>
  <si>
    <t xml:space="preserve">P00500</t>
  </si>
  <si>
    <t xml:space="preserve">P00795</t>
  </si>
  <si>
    <t xml:space="preserve">P00322</t>
  </si>
  <si>
    <t xml:space="preserve">P00472</t>
  </si>
  <si>
    <t xml:space="preserve">P00595</t>
  </si>
  <si>
    <t xml:space="preserve">P00776</t>
  </si>
  <si>
    <t xml:space="preserve">P00483</t>
  </si>
  <si>
    <t xml:space="preserve">P00710</t>
  </si>
  <si>
    <t xml:space="preserve">P00467</t>
  </si>
  <si>
    <t xml:space="preserve">P00135</t>
  </si>
  <si>
    <t xml:space="preserve">P00233</t>
  </si>
  <si>
    <t xml:space="preserve">P00160</t>
  </si>
  <si>
    <t xml:space="preserve">P00356</t>
  </si>
  <si>
    <t xml:space="preserve">P00327</t>
  </si>
  <si>
    <t xml:space="preserve">P00397</t>
  </si>
  <si>
    <t xml:space="preserve">P00049</t>
  </si>
  <si>
    <t xml:space="preserve">P00075</t>
  </si>
  <si>
    <t xml:space="preserve">P00750</t>
  </si>
  <si>
    <t xml:space="preserve">P00800</t>
  </si>
  <si>
    <t xml:space="preserve">P00839</t>
  </si>
  <si>
    <t xml:space="preserve">P00997</t>
  </si>
  <si>
    <t xml:space="preserve">P00492</t>
  </si>
  <si>
    <t xml:space="preserve">P00345</t>
  </si>
  <si>
    <t xml:space="preserve">P00633</t>
  </si>
  <si>
    <t xml:space="preserve">P00615</t>
  </si>
  <si>
    <t xml:space="preserve">P00490</t>
  </si>
  <si>
    <t xml:space="preserve">P00894</t>
  </si>
  <si>
    <t xml:space="preserve">P00596</t>
  </si>
  <si>
    <t xml:space="preserve">P00519</t>
  </si>
  <si>
    <t xml:space="preserve">P00098</t>
  </si>
  <si>
    <t xml:space="preserve">P00284</t>
  </si>
  <si>
    <t xml:space="preserve">P00681</t>
  </si>
  <si>
    <t xml:space="preserve">P00286</t>
  </si>
  <si>
    <t xml:space="preserve">P00128</t>
  </si>
  <si>
    <t xml:space="preserve">P00372</t>
  </si>
  <si>
    <t xml:space="preserve">P00412</t>
  </si>
  <si>
    <t xml:space="preserve">P00645</t>
  </si>
  <si>
    <t xml:space="preserve">P00982</t>
  </si>
  <si>
    <t xml:space="preserve">P00366</t>
  </si>
  <si>
    <t xml:space="preserve">P00601</t>
  </si>
  <si>
    <t xml:space="preserve">P00081</t>
  </si>
  <si>
    <t xml:space="preserve">P00159</t>
  </si>
  <si>
    <t xml:space="preserve">P00424</t>
  </si>
  <si>
    <t xml:space="preserve">P00748</t>
  </si>
  <si>
    <t xml:space="preserve">P00325</t>
  </si>
  <si>
    <t xml:space="preserve">P00866</t>
  </si>
  <si>
    <t xml:space="preserve">P00781</t>
  </si>
  <si>
    <t xml:space="preserve">P00676</t>
  </si>
  <si>
    <t xml:space="preserve">P00643</t>
  </si>
  <si>
    <t xml:space="preserve">P00627</t>
  </si>
  <si>
    <t xml:space="preserve">P00732</t>
  </si>
  <si>
    <t xml:space="preserve">P00285</t>
  </si>
  <si>
    <t xml:space="preserve">P00438</t>
  </si>
  <si>
    <t xml:space="preserve">P00180</t>
  </si>
  <si>
    <t xml:space="preserve">P00871</t>
  </si>
  <si>
    <t xml:space="preserve">P00840</t>
  </si>
  <si>
    <t xml:space="preserve">P00223</t>
  </si>
  <si>
    <t xml:space="preserve">P00123</t>
  </si>
  <si>
    <t xml:space="preserve">P00762</t>
  </si>
  <si>
    <t xml:space="preserve">P00993</t>
  </si>
  <si>
    <t xml:space="preserve">P00751</t>
  </si>
  <si>
    <t xml:space="preserve">P00874</t>
  </si>
  <si>
    <t xml:space="preserve">P00870</t>
  </si>
  <si>
    <t xml:space="preserve">P00448</t>
  </si>
  <si>
    <t xml:space="preserve">P00390</t>
  </si>
  <si>
    <t xml:space="preserve">P00432</t>
  </si>
  <si>
    <t xml:space="preserve">P00245</t>
  </si>
  <si>
    <t xml:space="preserve">P00385</t>
  </si>
  <si>
    <t xml:space="preserve">P00680</t>
  </si>
  <si>
    <t xml:space="preserve">P00221</t>
  </si>
  <si>
    <t xml:space="preserve">P00450</t>
  </si>
  <si>
    <t xml:space="preserve">P00016</t>
  </si>
  <si>
    <t xml:space="preserve">P00553</t>
  </si>
  <si>
    <t xml:space="preserve">P00524</t>
  </si>
  <si>
    <t xml:space="preserve">P00398</t>
  </si>
  <si>
    <t xml:space="preserve">P00396</t>
  </si>
  <si>
    <t xml:space="preserve">P00254</t>
  </si>
  <si>
    <t xml:space="preserve">P00935</t>
  </si>
  <si>
    <t xml:space="preserve">P00794</t>
  </si>
  <si>
    <t xml:space="preserve">P00847</t>
  </si>
  <si>
    <t xml:space="preserve">P00361</t>
  </si>
  <si>
    <t xml:space="preserve">P00991</t>
  </si>
  <si>
    <t xml:space="preserve">P00767</t>
  </si>
  <si>
    <t xml:space="preserve">P00173</t>
  </si>
  <si>
    <t xml:space="preserve">P00687</t>
  </si>
  <si>
    <t xml:space="preserve">P00148</t>
  </si>
  <si>
    <t xml:space="preserve">P00187</t>
  </si>
  <si>
    <t xml:space="preserve">P00044</t>
  </si>
  <si>
    <t xml:space="preserve">P00617</t>
  </si>
  <si>
    <t xml:space="preserve">P00529</t>
  </si>
  <si>
    <t xml:space="preserve">P00926</t>
  </si>
  <si>
    <t xml:space="preserve">P00297</t>
  </si>
  <si>
    <t xml:space="preserve">P00604</t>
  </si>
  <si>
    <t xml:space="preserve">P00139</t>
  </si>
  <si>
    <t xml:space="preserve">P00055</t>
  </si>
  <si>
    <t xml:space="preserve">P00670</t>
  </si>
  <si>
    <t xml:space="preserve">P00052</t>
  </si>
  <si>
    <t xml:space="preserve">P00820</t>
  </si>
  <si>
    <t xml:space="preserve">P00319</t>
  </si>
  <si>
    <t xml:space="preserve">P00023</t>
  </si>
  <si>
    <t xml:space="preserve">P00501</t>
  </si>
  <si>
    <t xml:space="preserve">P00801</t>
  </si>
  <si>
    <t xml:space="preserve">P00295</t>
  </si>
  <si>
    <t xml:space="preserve">P00210</t>
  </si>
  <si>
    <t xml:space="preserve">P00713</t>
  </si>
  <si>
    <t xml:space="preserve">P00143</t>
  </si>
  <si>
    <t xml:space="preserve">P00051</t>
  </si>
  <si>
    <t xml:space="preserve">P00167</t>
  </si>
  <si>
    <t xml:space="preserve">P00622</t>
  </si>
  <si>
    <t xml:space="preserve">P00656</t>
  </si>
  <si>
    <t xml:space="preserve">P00082</t>
  </si>
  <si>
    <t xml:space="preserve">P00667</t>
  </si>
  <si>
    <t xml:space="preserve">P00984</t>
  </si>
  <si>
    <t xml:space="preserve">P00901</t>
  </si>
  <si>
    <t xml:space="preserve">P00067</t>
  </si>
  <si>
    <t xml:space="preserve">P00733</t>
  </si>
  <si>
    <t xml:space="preserve">P00657</t>
  </si>
  <si>
    <t xml:space="preserve">P00936</t>
  </si>
  <si>
    <t xml:space="preserve">P00989</t>
  </si>
  <si>
    <t xml:space="preserve">P00511</t>
  </si>
  <si>
    <t xml:space="preserve">P00514</t>
  </si>
  <si>
    <t xml:space="preserve">P00065</t>
  </si>
  <si>
    <t xml:space="preserve">P00735</t>
  </si>
  <si>
    <t xml:space="preserve">P00265</t>
  </si>
  <si>
    <t xml:space="preserve">P00865</t>
  </si>
  <si>
    <t xml:space="preserve">P00464</t>
  </si>
  <si>
    <t xml:space="preserve">P00499</t>
  </si>
  <si>
    <t xml:space="preserve">P00021</t>
  </si>
  <si>
    <t xml:space="preserve">P00368</t>
  </si>
  <si>
    <t xml:space="preserve">P00769</t>
  </si>
  <si>
    <t xml:space="preserve">P00697</t>
  </si>
  <si>
    <t xml:space="preserve">P00720</t>
  </si>
  <si>
    <t xml:space="preserve">P00579</t>
  </si>
  <si>
    <t xml:space="preserve">P00262</t>
  </si>
  <si>
    <t xml:space="preserve">P00653</t>
  </si>
  <si>
    <t xml:space="preserve">P00721</t>
  </si>
  <si>
    <t xml:space="preserve">P00807</t>
  </si>
  <si>
    <t xml:space="preserve">P00571</t>
  </si>
  <si>
    <t xml:space="preserve">P00460</t>
  </si>
  <si>
    <t xml:space="preserve">P00823</t>
  </si>
  <si>
    <t xml:space="preserve">P00189</t>
  </si>
  <si>
    <t xml:space="preserve">P00252</t>
  </si>
  <si>
    <t xml:space="preserve">P00072</t>
  </si>
  <si>
    <t xml:space="preserve">P00665</t>
  </si>
  <si>
    <t xml:space="preserve">P00419</t>
  </si>
  <si>
    <t xml:space="preserve">P00337</t>
  </si>
  <si>
    <t xml:space="preserve">P00329</t>
  </si>
  <si>
    <t xml:space="preserve">P00351</t>
  </si>
  <si>
    <t xml:space="preserve">P00910</t>
  </si>
  <si>
    <t xml:space="preserve">P00929</t>
  </si>
  <si>
    <t xml:space="preserve">P00987</t>
  </si>
  <si>
    <t xml:space="preserve">P00376</t>
  </si>
  <si>
    <t xml:space="preserve">P00558</t>
  </si>
  <si>
    <t xml:space="preserve">P00685</t>
  </si>
  <si>
    <t xml:space="preserve">P00452</t>
  </si>
  <si>
    <t xml:space="preserve">P00810</t>
  </si>
  <si>
    <t xml:space="preserve">P00506</t>
  </si>
  <si>
    <t xml:space="preserve">P00678</t>
  </si>
  <si>
    <t xml:space="preserve">P00834</t>
  </si>
  <si>
    <t xml:space="preserve">P00527</t>
  </si>
  <si>
    <t xml:space="preserve">P00481</t>
  </si>
  <si>
    <t xml:space="preserve">P00447</t>
  </si>
  <si>
    <t xml:space="preserve">P00219</t>
  </si>
  <si>
    <t xml:space="preserve">P00240</t>
  </si>
  <si>
    <t xml:space="preserve">P00753</t>
  </si>
  <si>
    <t xml:space="preserve">P00526</t>
  </si>
  <si>
    <t xml:space="preserve">P00193</t>
  </si>
  <si>
    <t xml:space="preserve">P00796</t>
  </si>
  <si>
    <t xml:space="preserve">P00192</t>
  </si>
  <si>
    <t xml:space="preserve">P00509</t>
  </si>
  <si>
    <t xml:space="preserve">P00436</t>
  </si>
  <si>
    <t xml:space="preserve">P00133</t>
  </si>
  <si>
    <t xml:space="preserve">P00557</t>
  </si>
  <si>
    <t xml:space="preserve">P00253</t>
  </si>
  <si>
    <t xml:space="preserve">P00672</t>
  </si>
  <si>
    <t xml:space="preserve">P00902</t>
  </si>
  <si>
    <t xml:space="preserve">P00264</t>
  </si>
  <si>
    <t xml:space="preserve">P00071</t>
  </si>
  <si>
    <t xml:space="preserve">P00273</t>
  </si>
  <si>
    <t xml:space="preserve">P00508</t>
  </si>
  <si>
    <t xml:space="preserve">P00328</t>
  </si>
  <si>
    <t xml:space="preserve">P00116</t>
  </si>
  <si>
    <t xml:space="preserve">P00324</t>
  </si>
  <si>
    <t xml:space="preserve">P00958</t>
  </si>
  <si>
    <t xml:space="preserve">P00664</t>
  </si>
  <si>
    <t xml:space="preserve">P00867</t>
  </si>
  <si>
    <t xml:space="preserve">P00505</t>
  </si>
  <si>
    <t xml:space="preserve">P00621</t>
  </si>
  <si>
    <t xml:space="preserve">P00774</t>
  </si>
  <si>
    <t xml:space="preserve">P00703</t>
  </si>
  <si>
    <t xml:space="preserve">P00446</t>
  </si>
  <si>
    <t xml:space="preserve">P00620</t>
  </si>
  <si>
    <t xml:space="preserve">P00752</t>
  </si>
  <si>
    <t xml:space="preserve">P00610</t>
  </si>
  <si>
    <t xml:space="preserve">P00279</t>
  </si>
  <si>
    <t xml:space="preserve">P00786</t>
  </si>
  <si>
    <t xml:space="preserve">P00868</t>
  </si>
  <si>
    <t xml:space="preserve">P00003</t>
  </si>
  <si>
    <t xml:space="preserve">P00230</t>
  </si>
  <si>
    <t xml:space="preserve">P00420</t>
  </si>
  <si>
    <t xml:space="preserve">P00924</t>
  </si>
  <si>
    <t xml:space="preserve">P00578</t>
  </si>
  <si>
    <t xml:space="preserve">P00854</t>
  </si>
  <si>
    <t xml:space="preserve">P00200</t>
  </si>
  <si>
    <t xml:space="preserve">P00951</t>
  </si>
  <si>
    <t xml:space="preserve">P00516</t>
  </si>
  <si>
    <t xml:space="preserve">P00066</t>
  </si>
  <si>
    <t xml:space="preserve">P00956</t>
  </si>
  <si>
    <t xml:space="preserve">P00041</t>
  </si>
  <si>
    <t xml:space="preserve">P00743</t>
  </si>
  <si>
    <t xml:space="preserve">P00515</t>
  </si>
  <si>
    <t xml:space="preserve">P00421</t>
  </si>
  <si>
    <t xml:space="preserve">P00493</t>
  </si>
  <si>
    <t xml:space="preserve">P00563</t>
  </si>
  <si>
    <t xml:space="preserve">P00274</t>
  </si>
  <si>
    <t xml:space="preserve">P00695</t>
  </si>
  <si>
    <t xml:space="preserve">P00628</t>
  </si>
  <si>
    <t xml:space="preserve">P00683</t>
  </si>
  <si>
    <t xml:space="preserve">P00758</t>
  </si>
  <si>
    <t xml:space="preserve">P00178</t>
  </si>
  <si>
    <t xml:space="preserve">P00301</t>
  </si>
  <si>
    <t xml:space="preserve">P00038</t>
  </si>
  <si>
    <t xml:space="preserve">P00479</t>
  </si>
  <si>
    <t xml:space="preserve">P00203</t>
  </si>
  <si>
    <t xml:space="preserve">P00237</t>
  </si>
  <si>
    <t xml:space="preserve">P00150</t>
  </si>
  <si>
    <t xml:space="preserve">P00218</t>
  </si>
  <si>
    <t xml:space="preserve">P00674</t>
  </si>
  <si>
    <t xml:space="preserve">P00565</t>
  </si>
  <si>
    <t xml:space="preserve">P00912</t>
  </si>
  <si>
    <t xml:space="preserve">P00797</t>
  </si>
  <si>
    <t xml:space="preserve">P00400</t>
  </si>
  <si>
    <t xml:space="preserve">P00303</t>
  </si>
  <si>
    <t xml:space="preserve">P00853</t>
  </si>
  <si>
    <t xml:space="preserve">P00913</t>
  </si>
  <si>
    <t xml:space="preserve">P00668</t>
  </si>
  <si>
    <t xml:space="preserve">P00994</t>
  </si>
  <si>
    <t xml:space="preserve">P00389</t>
  </si>
  <si>
    <t xml:space="preserve">P00410</t>
  </si>
  <si>
    <t xml:space="preserve">P00388</t>
  </si>
  <si>
    <t xml:space="preserve">P00535</t>
  </si>
  <si>
    <t xml:space="preserve">P00391</t>
  </si>
  <si>
    <t xml:space="preserve">P00829</t>
  </si>
  <si>
    <t xml:space="preserve">P00353</t>
  </si>
  <si>
    <t xml:space="preserve">P00194</t>
  </si>
  <si>
    <t xml:space="preserve">P00236</t>
  </si>
  <si>
    <t xml:space="preserve">P00611</t>
  </si>
  <si>
    <t xml:space="preserve">P00831</t>
  </si>
  <si>
    <t xml:space="preserve">P00056</t>
  </si>
  <si>
    <t xml:space="preserve">P00669</t>
  </si>
  <si>
    <t xml:space="preserve">P00097</t>
  </si>
  <si>
    <t xml:space="preserve">P00142</t>
  </si>
  <si>
    <t xml:space="preserve">P00696</t>
  </si>
  <si>
    <t xml:space="preserve">P00857</t>
  </si>
  <si>
    <t xml:space="preserve">P00541</t>
  </si>
  <si>
    <t xml:space="preserve">P00568</t>
  </si>
  <si>
    <t xml:space="preserve">P00121</t>
  </si>
  <si>
    <t xml:space="preserve">P00597</t>
  </si>
  <si>
    <t xml:space="preserve">P00504</t>
  </si>
  <si>
    <t xml:space="preserve">P00063</t>
  </si>
  <si>
    <t xml:space="preserve">P00757</t>
  </si>
  <si>
    <t xml:space="preserve">P00443</t>
  </si>
  <si>
    <t xml:space="preserve">P00415</t>
  </si>
  <si>
    <t xml:space="preserve">P00004</t>
  </si>
  <si>
    <t xml:space="preserve">P00059</t>
  </si>
  <si>
    <t xml:space="preserve">P00224</t>
  </si>
  <si>
    <t xml:space="preserve">P00614</t>
  </si>
  <si>
    <t xml:space="preserve">P00102</t>
  </si>
  <si>
    <t xml:space="preserve">P00718</t>
  </si>
  <si>
    <t xml:space="preserve">P00222</t>
  </si>
  <si>
    <t xml:space="preserve">P00456</t>
  </si>
  <si>
    <t xml:space="preserve">P00005</t>
  </si>
  <si>
    <t xml:space="preserve">P00053</t>
  </si>
  <si>
    <t xml:space="preserve">P00018</t>
  </si>
  <si>
    <t xml:space="preserve">P00911</t>
  </si>
  <si>
    <t xml:space="preserve">P00983</t>
  </si>
  <si>
    <t xml:space="preserve">P00307</t>
  </si>
  <si>
    <t xml:space="preserve">P00661</t>
  </si>
  <si>
    <t xml:space="preserve">P00156</t>
  </si>
  <si>
    <t xml:space="preserve">P00819</t>
  </si>
  <si>
    <t xml:space="preserve">P00675</t>
  </si>
  <si>
    <t xml:space="preserve">P00249</t>
  </si>
  <si>
    <t xml:space="preserve">P00250</t>
  </si>
  <si>
    <t xml:space="preserve">P00359</t>
  </si>
  <si>
    <t xml:space="preserve">P00772</t>
  </si>
  <si>
    <t xml:space="preserve">P00431</t>
  </si>
  <si>
    <t xml:space="preserve">P00442</t>
  </si>
  <si>
    <t xml:space="preserve">P00882</t>
  </si>
  <si>
    <t xml:space="preserve">P00843</t>
  </si>
  <si>
    <t xml:space="preserve">P00031</t>
  </si>
  <si>
    <t xml:space="preserve">P00282</t>
  </si>
  <si>
    <t xml:space="preserve">P00673</t>
  </si>
  <si>
    <t xml:space="preserve">P00960</t>
  </si>
  <si>
    <t xml:space="preserve">P00118</t>
  </si>
  <si>
    <t xml:space="preserve">P00898</t>
  </si>
  <si>
    <t xml:space="preserve">P00117</t>
  </si>
  <si>
    <t xml:space="preserve">P00581</t>
  </si>
  <si>
    <t xml:space="preserve">P00663</t>
  </si>
  <si>
    <t xml:space="preserve">P00292</t>
  </si>
  <si>
    <t xml:space="preserve">P00028</t>
  </si>
  <si>
    <t xml:space="preserve">P00382</t>
  </si>
  <si>
    <t xml:space="preserve">P00308</t>
  </si>
  <si>
    <t xml:space="preserve">P00626</t>
  </si>
  <si>
    <t xml:space="preserve">P00593</t>
  </si>
  <si>
    <t xml:space="preserve">P00201</t>
  </si>
  <si>
    <t xml:space="preserve">P00569</t>
  </si>
  <si>
    <t xml:space="preserve">P00386</t>
  </si>
  <si>
    <t xml:space="preserve">P00864</t>
  </si>
  <si>
    <t xml:space="preserve">P00659</t>
  </si>
  <si>
    <t xml:space="preserve">P00900</t>
  </si>
  <si>
    <t xml:space="preserve">P00793</t>
  </si>
  <si>
    <t xml:space="preserve">P00724</t>
  </si>
  <si>
    <t xml:space="preserve">P00315</t>
  </si>
  <si>
    <t xml:space="preserve">P00893</t>
  </si>
  <si>
    <t xml:space="preserve">P00281</t>
  </si>
  <si>
    <t xml:space="preserve">P00946</t>
  </si>
  <si>
    <t xml:space="preserve">P00755</t>
  </si>
  <si>
    <t xml:space="preserve">P00354</t>
  </si>
  <si>
    <t xml:space="preserve">P00642</t>
  </si>
  <si>
    <t xml:space="preserve">P00208</t>
  </si>
  <si>
    <t xml:space="preserve">P00380</t>
  </si>
  <si>
    <t xml:space="preserve">P00879</t>
  </si>
  <si>
    <t xml:space="preserve">P00413</t>
  </si>
  <si>
    <t xml:space="preserve">P00790</t>
  </si>
  <si>
    <t xml:space="preserve">P00024</t>
  </si>
  <si>
    <t xml:space="preserve">P00341</t>
  </si>
  <si>
    <t xml:space="preserve">P00692</t>
  </si>
  <si>
    <t xml:space="preserve">P00636</t>
  </si>
  <si>
    <t xml:space="preserve">P00155</t>
  </si>
  <si>
    <t xml:space="preserve">P00855</t>
  </si>
  <si>
    <t xml:space="preserve">P00554</t>
  </si>
  <si>
    <t xml:space="preserve">P00725</t>
  </si>
  <si>
    <t xml:space="preserve">P00729</t>
  </si>
  <si>
    <t xml:space="preserve">P00784</t>
  </si>
  <si>
    <t xml:space="preserve">P00323</t>
  </si>
  <si>
    <t xml:space="preserve">P00771</t>
  </si>
  <si>
    <t xml:space="preserve">P00599</t>
  </si>
  <si>
    <t xml:space="preserve">P00583</t>
  </si>
  <si>
    <t xml:space="preserve">P00566</t>
  </si>
  <si>
    <t xml:space="preserve">P00263</t>
  </si>
  <si>
    <t xml:space="preserve">P00458</t>
  </si>
  <si>
    <t xml:space="preserve">P00083</t>
  </si>
  <si>
    <t xml:space="preserve">P00564</t>
  </si>
  <si>
    <t xml:space="preserve">P00408</t>
  </si>
  <si>
    <t xml:space="preserve">P00453</t>
  </si>
  <si>
    <t xml:space="preserve">P00465</t>
  </si>
  <si>
    <t xml:space="preserve">P00962</t>
  </si>
  <si>
    <t xml:space="preserve">P00548</t>
  </si>
  <si>
    <t xml:space="preserve">P00039</t>
  </si>
  <si>
    <t xml:space="preserve">P00418</t>
  </si>
  <si>
    <t xml:space="preserve">P00164</t>
  </si>
  <si>
    <t xml:space="preserve">P00334</t>
  </si>
  <si>
    <t xml:space="preserve">P00011</t>
  </si>
  <si>
    <t xml:space="preserve">P00471</t>
  </si>
  <si>
    <t xml:space="preserve">P00033</t>
  </si>
  <si>
    <t xml:space="preserve">P00572</t>
  </si>
  <si>
    <t xml:space="preserve">P00872</t>
  </si>
  <si>
    <t xml:space="preserve">P00383</t>
  </si>
  <si>
    <t xml:space="preserve">P00602</t>
  </si>
  <si>
    <t xml:space="preserve">P00552</t>
  </si>
  <si>
    <t xml:space="preserve">P00909</t>
  </si>
  <si>
    <t xml:space="preserve">P00904</t>
  </si>
  <si>
    <t xml:space="preserve">P00379</t>
  </si>
  <si>
    <t xml:space="preserve">P00090</t>
  </si>
  <si>
    <t xml:space="preserve">P00214</t>
  </si>
  <si>
    <t xml:space="preserve">P00947</t>
  </si>
  <si>
    <t xml:space="preserve">P00134</t>
  </si>
  <si>
    <t xml:space="preserve">P00347</t>
  </si>
  <si>
    <t xml:space="preserve">P00008</t>
  </si>
  <si>
    <t xml:space="preserve">P00766</t>
  </si>
  <si>
    <t xml:space="preserve">P00321</t>
  </si>
  <si>
    <t xml:space="preserve">P00778</t>
  </si>
  <si>
    <t xml:space="preserve">P00188</t>
  </si>
  <si>
    <t xml:space="preserve">P00305</t>
  </si>
  <si>
    <t xml:space="preserve">P00032</t>
  </si>
  <si>
    <t xml:space="preserve">P00715</t>
  </si>
  <si>
    <t xml:space="preserve">P00241</t>
  </si>
  <si>
    <t xml:space="preserve">P00723</t>
  </si>
  <si>
    <t xml:space="preserve">P00175</t>
  </si>
  <si>
    <t xml:space="preserve">P00246</t>
  </si>
  <si>
    <t xml:space="preserve">P00057</t>
  </si>
  <si>
    <t xml:space="preserve">P00747</t>
  </si>
  <si>
    <t xml:space="preserve">P00146</t>
  </si>
  <si>
    <t xml:space="preserve">P00091</t>
  </si>
  <si>
    <t xml:space="preserve">P00393</t>
  </si>
  <si>
    <t xml:space="preserve">P00311</t>
  </si>
  <si>
    <t xml:space="preserve">P00360</t>
  </si>
  <si>
    <t xml:space="preserve">P00094</t>
  </si>
  <si>
    <t xml:space="preserve">P00830</t>
  </si>
  <si>
    <t xml:space="preserve">P00895</t>
  </si>
  <si>
    <t xml:space="preserve">P00377</t>
  </si>
  <si>
    <t xml:space="preserve">P00244</t>
  </si>
  <si>
    <t xml:space="preserve">P00816</t>
  </si>
  <si>
    <t xml:space="preserve">P00088</t>
  </si>
  <si>
    <t xml:space="preserve">P00215</t>
  </si>
  <si>
    <t xml:space="preserve">P00970</t>
  </si>
  <si>
    <t xml:space="preserve">P00174</t>
  </si>
  <si>
    <t xml:space="preserve">P00426</t>
  </si>
  <si>
    <t xml:space="preserve">P00770</t>
  </si>
  <si>
    <t xml:space="preserve">P00119</t>
  </si>
  <si>
    <t xml:space="preserve">P00120</t>
  </si>
  <si>
    <t xml:space="preserve">P00903</t>
  </si>
  <si>
    <t xml:space="preserve">P00001</t>
  </si>
  <si>
    <t xml:space="preserve">P00395</t>
  </si>
  <si>
    <t xml:space="preserve">P00402</t>
  </si>
  <si>
    <t xml:space="preserve">P00405</t>
  </si>
  <si>
    <t xml:space="preserve">P00612</t>
  </si>
  <si>
    <t xml:space="preserve">P00619</t>
  </si>
  <si>
    <t xml:space="preserve">P00163</t>
  </si>
  <si>
    <t xml:space="preserve">P00115</t>
  </si>
  <si>
    <t xml:space="preserve">P00151</t>
  </si>
  <si>
    <t xml:space="preserve">P00937</t>
  </si>
  <si>
    <t xml:space="preserve">P00806</t>
  </si>
  <si>
    <t xml:space="preserve">P00860</t>
  </si>
  <si>
    <t xml:space="preserve">P00369</t>
  </si>
  <si>
    <t xml:space="preserve">P00544</t>
  </si>
  <si>
    <t xml:space="preserve">P00478</t>
  </si>
  <si>
    <t xml:space="preserve">P00533</t>
  </si>
  <si>
    <t xml:space="preserve">P00976</t>
  </si>
  <si>
    <t xml:space="preserve">P00586</t>
  </si>
  <si>
    <t xml:space="preserve">P00948</t>
  </si>
  <si>
    <t xml:space="preserve">P00259</t>
  </si>
  <si>
    <t xml:space="preserve">P00838</t>
  </si>
  <si>
    <t xml:space="preserve">P00136</t>
  </si>
  <si>
    <t xml:space="preserve">P00917</t>
  </si>
  <si>
    <t xml:space="preserve">P00631</t>
  </si>
  <si>
    <t xml:space="preserve">P00792</t>
  </si>
  <si>
    <t xml:space="preserve">P00502</t>
  </si>
  <si>
    <t xml:space="preserve">P00539</t>
  </si>
  <si>
    <t xml:space="preserve">P00650</t>
  </si>
  <si>
    <t xml:space="preserve">P00582</t>
  </si>
  <si>
    <t xml:space="preserve">P00344</t>
  </si>
  <si>
    <t xml:space="preserve">P00884</t>
  </si>
  <si>
    <t xml:space="preserve">P00832</t>
  </si>
  <si>
    <t xml:space="preserve">P00294</t>
  </si>
  <si>
    <t xml:space="preserve">P00365</t>
  </si>
  <si>
    <t xml:space="preserve">P00624</t>
  </si>
  <si>
    <t xml:space="preserve">P00015</t>
  </si>
  <si>
    <t xml:space="preserve">P00087</t>
  </si>
  <si>
    <t xml:space="preserve">P00371</t>
  </si>
  <si>
    <t xml:space="preserve">P00166</t>
  </si>
  <si>
    <t xml:space="preserve">P00873</t>
  </si>
  <si>
    <t xml:space="preserve">P00336</t>
  </si>
  <si>
    <t xml:space="preserve">P00060</t>
  </si>
  <si>
    <t xml:space="preserve">P00355</t>
  </si>
  <si>
    <t xml:space="preserve">P00425</t>
  </si>
  <si>
    <t xml:space="preserve">P00293</t>
  </si>
  <si>
    <t xml:space="preserve">P00042</t>
  </si>
  <si>
    <t xml:space="preserve">P00330</t>
  </si>
  <si>
    <t xml:space="preserve">P00430</t>
  </si>
  <si>
    <t xml:space="preserve">P00080</t>
  </si>
  <si>
    <t xml:space="preserve">P00029</t>
  </si>
  <si>
    <t xml:space="preserve">P00255</t>
  </si>
  <si>
    <t xml:space="preserve">P00745</t>
  </si>
  <si>
    <t xml:space="preserve">P00459</t>
  </si>
  <si>
    <t xml:space="preserve">P00384</t>
  </si>
  <si>
    <t xml:space="preserve">P00314</t>
  </si>
  <si>
    <t xml:space="preserve">P00085</t>
  </si>
  <si>
    <t xml:space="preserve">P00575</t>
  </si>
  <si>
    <t xml:space="preserve">P00137</t>
  </si>
  <si>
    <t xml:space="preserve">P00112</t>
  </si>
  <si>
    <t xml:space="preserve">P00195</t>
  </si>
  <si>
    <t xml:space="preserve">P00179</t>
  </si>
  <si>
    <t xml:space="preserve">P00877</t>
  </si>
  <si>
    <t xml:space="preserve">P00497</t>
  </si>
  <si>
    <t xml:space="preserve">P00130</t>
  </si>
  <si>
    <t xml:space="preserve">P00338</t>
  </si>
  <si>
    <t xml:space="preserve">P00609</t>
  </si>
  <si>
    <t xml:space="preserve">P00125</t>
  </si>
  <si>
    <t xml:space="preserve">P00949</t>
  </si>
  <si>
    <t xml:space="preserve">P00227</t>
  </si>
  <si>
    <t xml:space="preserve">P00269</t>
  </si>
  <si>
    <t xml:space="preserve">P00965</t>
  </si>
  <si>
    <t xml:space="preserve">P00988</t>
  </si>
  <si>
    <t xml:space="preserve">P00104</t>
  </si>
  <si>
    <t xml:space="preserve">P00594</t>
  </si>
  <si>
    <t xml:space="preserve">P00844</t>
  </si>
  <si>
    <t xml:space="preserve">P00652</t>
  </si>
  <si>
    <t xml:space="preserve">P00228</t>
  </si>
  <si>
    <t xml:space="preserve">P00875</t>
  </si>
  <si>
    <t xml:space="preserve">P00302</t>
  </si>
  <si>
    <t xml:space="preserve">P00276</t>
  </si>
  <si>
    <t xml:space="preserve">P00127</t>
  </si>
  <si>
    <t xml:space="preserve">P00406</t>
  </si>
  <si>
    <t xml:space="preserve">P00881</t>
  </si>
  <si>
    <t xml:space="preserve">P00037</t>
  </si>
  <si>
    <t xml:space="preserve">P00140</t>
  </si>
  <si>
    <t xml:space="preserve">P00304</t>
  </si>
  <si>
    <t xml:space="preserve">P00268</t>
  </si>
  <si>
    <t xml:space="preserve">P00534</t>
  </si>
  <si>
    <t xml:space="preserve">P00546</t>
  </si>
  <si>
    <t xml:space="preserve">P00213</t>
  </si>
  <si>
    <t xml:space="preserve">P00469</t>
  </si>
  <si>
    <t xml:space="preserve">P00199</t>
  </si>
  <si>
    <t xml:space="preserve">P00528</t>
  </si>
  <si>
    <t xml:space="preserve">P00916</t>
  </si>
  <si>
    <t xml:space="preserve">P00242</t>
  </si>
  <si>
    <t xml:space="preserve">P00343</t>
  </si>
  <si>
    <t xml:space="preserve">P00550</t>
  </si>
  <si>
    <t xml:space="preserve">P00387</t>
  </si>
  <si>
    <t xml:space="preserve">P00850</t>
  </si>
  <si>
    <t xml:space="preserve">P00207</t>
  </si>
  <si>
    <t xml:space="preserve">P00296</t>
  </si>
  <si>
    <t xml:space="preserve">P00851</t>
  </si>
  <si>
    <t xml:space="preserve">P00074</t>
  </si>
  <si>
    <t xml:space="preserve">P00741</t>
  </si>
  <si>
    <t xml:space="preserve">P00105</t>
  </si>
  <si>
    <t xml:space="preserve">P00684</t>
  </si>
  <si>
    <t xml:space="preserve">P00944</t>
  </si>
  <si>
    <t xml:space="preserve">P00953</t>
  </si>
  <si>
    <t xml:space="preserve">P00017</t>
  </si>
  <si>
    <t xml:space="preserve">P00440</t>
  </si>
  <si>
    <t xml:space="preserve">P00092</t>
  </si>
  <si>
    <t xml:space="preserve">P00089</t>
  </si>
  <si>
    <t xml:space="preserve">P00451</t>
  </si>
  <si>
    <t xml:space="preserve">P00103</t>
  </si>
  <si>
    <t xml:space="preserve">P00239</t>
  </si>
  <si>
    <t xml:space="preserve">P00717</t>
  </si>
  <si>
    <t xml:space="preserve">P00247</t>
  </si>
  <si>
    <t xml:space="preserve">P00709</t>
  </si>
  <si>
    <t xml:space="preserve">P00158</t>
  </si>
  <si>
    <t xml:space="preserve">P00480</t>
  </si>
  <si>
    <t xml:space="preserve">P00646</t>
  </si>
  <si>
    <t xml:space="preserve">P00921</t>
  </si>
  <si>
    <t xml:space="preserve">P00815</t>
  </si>
  <si>
    <t xml:space="preserve">P00019</t>
  </si>
  <si>
    <t xml:space="preserve">P00701</t>
  </si>
  <si>
    <t xml:space="preserve">P00122</t>
  </si>
  <si>
    <t xml:space="preserve">P00827</t>
  </si>
  <si>
    <t xml:space="preserve">P00700</t>
  </si>
  <si>
    <t xml:space="preserve">P00275</t>
  </si>
  <si>
    <t xml:space="preserve">P00434</t>
  </si>
  <si>
    <t xml:space="preserve">P00888</t>
  </si>
  <si>
    <t xml:space="preserve">P00312</t>
  </si>
  <si>
    <t xml:space="preserve">P00761</t>
  </si>
  <si>
    <t xml:space="preserve">P00826</t>
  </si>
  <si>
    <t xml:space="preserve">P00547</t>
  </si>
  <si>
    <t xml:space="preserve">P00182</t>
  </si>
  <si>
    <t xml:space="preserve">P00185</t>
  </si>
  <si>
    <t xml:space="preserve">P00407</t>
  </si>
  <si>
    <t xml:space="preserve">P00607</t>
  </si>
  <si>
    <t xml:space="preserve">P00693</t>
  </si>
  <si>
    <t xml:space="preserve">P00521</t>
  </si>
  <si>
    <t xml:space="preserve">P00381</t>
  </si>
  <si>
    <t xml:space="preserve">P00411</t>
  </si>
  <si>
    <t xml:space="preserve">P00635</t>
  </si>
  <si>
    <t xml:space="preserve">P00370</t>
  </si>
  <si>
    <t xml:space="preserve">P00805</t>
  </si>
  <si>
    <t xml:space="preserve">P00974</t>
  </si>
  <si>
    <t xml:space="preserve">P00749</t>
  </si>
  <si>
    <t xml:space="preserve">P00079</t>
  </si>
  <si>
    <t xml:space="preserve">P00574</t>
  </si>
  <si>
    <t xml:space="preserve">P00638</t>
  </si>
  <si>
    <t xml:space="preserve">P00608</t>
  </si>
  <si>
    <t xml:space="preserve">P00789</t>
  </si>
  <si>
    <t xml:space="preserve">P00981</t>
  </si>
  <si>
    <t xml:space="preserve">P00822</t>
  </si>
  <si>
    <t xml:space="preserve">P00915</t>
  </si>
  <si>
    <t xml:space="preserve">P00417</t>
  </si>
  <si>
    <t xml:space="preserve">P00738</t>
  </si>
  <si>
    <t xml:space="preserve">P00562</t>
  </si>
  <si>
    <t xml:space="preserve">P00068</t>
  </si>
  <si>
    <t xml:space="preserve">P00537</t>
  </si>
  <si>
    <t xml:space="preserve">P00078</t>
  </si>
  <si>
    <t xml:space="preserve">P00106</t>
  </si>
  <si>
    <t xml:space="preserve">P00995</t>
  </si>
  <si>
    <t xml:space="preserve">P00821</t>
  </si>
  <si>
    <t xml:space="preserve">P00639</t>
  </si>
  <si>
    <t xml:space="preserve">P00560</t>
  </si>
  <si>
    <t xml:space="preserve">P00756</t>
  </si>
  <si>
    <t xml:space="preserve">P00691</t>
  </si>
  <si>
    <t xml:space="preserve">P00859</t>
  </si>
  <si>
    <t xml:space="preserve">P00977</t>
  </si>
  <si>
    <t xml:space="preserve">P00861</t>
  </si>
  <si>
    <t xml:space="preserve">P00736</t>
  </si>
  <si>
    <t xml:space="preserve">P00954</t>
  </si>
  <si>
    <t xml:space="preserve">P00491</t>
  </si>
  <si>
    <t xml:space="preserve">P00986</t>
  </si>
  <si>
    <t xml:space="preserve">P00835</t>
  </si>
  <si>
    <t xml:space="preserve">P00606</t>
  </si>
  <si>
    <t xml:space="preserve">P00364</t>
  </si>
  <si>
    <t xml:space="preserve">P00070</t>
  </si>
  <si>
    <t xml:space="preserve">P00549</t>
  </si>
  <si>
    <t xml:space="preserve">P00161</t>
  </si>
  <si>
    <t xml:space="preserve">P00012</t>
  </si>
  <si>
    <t xml:space="preserve">P00145</t>
  </si>
  <si>
    <t xml:space="preserve">P00518</t>
  </si>
  <si>
    <t xml:space="preserve">P00428</t>
  </si>
  <si>
    <t xml:space="preserve">P00640</t>
  </si>
  <si>
    <t xml:space="preserve">P00177</t>
  </si>
  <si>
    <t xml:space="preserve">P00441</t>
  </si>
  <si>
    <t xml:space="preserve">P00522</t>
  </si>
  <si>
    <t xml:space="preserve">P00862</t>
  </si>
  <si>
    <t xml:space="preserve">P00932</t>
  </si>
  <si>
    <t xml:space="preserve">P00689</t>
  </si>
  <si>
    <t xml:space="preserve">P00232</t>
  </si>
  <si>
    <t xml:space="preserve">P00211</t>
  </si>
  <si>
    <t xml:space="preserve">P00641</t>
  </si>
  <si>
    <t xml:space="preserve">P00144</t>
  </si>
  <si>
    <t xml:space="preserve">P00754</t>
  </si>
  <si>
    <t xml:space="preserve">P00520</t>
  </si>
  <si>
    <t xml:space="preserve">P00992</t>
  </si>
  <si>
    <t xml:space="preserve">P00299</t>
  </si>
  <si>
    <t xml:space="preserve">P00429</t>
  </si>
  <si>
    <t xml:space="preserve">P00613</t>
  </si>
  <si>
    <t xml:space="preserve">P00919</t>
  </si>
  <si>
    <t xml:space="preserve">P00927</t>
  </si>
  <si>
    <t xml:space="preserve">P00009</t>
  </si>
  <si>
    <t xml:space="preserve">P00157</t>
  </si>
  <si>
    <t xml:space="preserve">P00540</t>
  </si>
  <si>
    <t xml:space="preserve">P00507</t>
  </si>
  <si>
    <t xml:space="preserve">P00437</t>
  </si>
  <si>
    <t xml:space="preserve">P00267</t>
  </si>
  <si>
    <t xml:space="preserve">P00462</t>
  </si>
  <si>
    <t xml:space="preserve">P00577</t>
  </si>
  <si>
    <t xml:space="preserve">P00339</t>
  </si>
  <si>
    <t xml:space="preserve">P00256</t>
  </si>
  <si>
    <t xml:space="preserve">P00799</t>
  </si>
  <si>
    <t xml:space="preserve">P00841</t>
  </si>
  <si>
    <t xml:space="preserve">P00666</t>
  </si>
  <si>
    <t xml:space="preserve">P00561</t>
  </si>
  <si>
    <t xml:space="preserve">P00209</t>
  </si>
  <si>
    <t xml:space="preserve">P00288</t>
  </si>
  <si>
    <t xml:space="preserve">P00002</t>
  </si>
  <si>
    <t xml:space="preserve">P00342</t>
  </si>
  <si>
    <t xml:space="preserve">P00270</t>
  </si>
  <si>
    <t xml:space="preserve">P00266</t>
  </si>
  <si>
    <t xml:space="preserve">P00808</t>
  </si>
  <si>
    <t xml:space="preserve">P00814</t>
  </si>
  <si>
    <t xml:space="preserve">P00096</t>
  </si>
  <si>
    <t xml:space="preserve">P00959</t>
  </si>
  <si>
    <t xml:space="preserve">P00043</t>
  </si>
  <si>
    <t xml:space="preserve">P00869</t>
  </si>
  <si>
    <t xml:space="preserve">P00990</t>
  </si>
  <si>
    <t xml:space="preserve">P00966</t>
  </si>
  <si>
    <t xml:space="preserve">P00629</t>
  </si>
  <si>
    <t xml:space="preserve">P00046</t>
  </si>
  <si>
    <t xml:space="preserve">P00162</t>
  </si>
  <si>
    <t xml:space="preserve">P00728</t>
  </si>
  <si>
    <t xml:space="preserve">P00630</t>
  </si>
  <si>
    <t xml:space="preserve">P00289</t>
  </si>
  <si>
    <t xml:space="preserve">P00590</t>
  </si>
  <si>
    <t xml:space="preserve">P00885</t>
  </si>
  <si>
    <t xml:space="preserve">P00943</t>
  </si>
  <si>
    <t xml:space="preserve">P00576</t>
  </si>
  <si>
    <t xml:space="preserve">P00316</t>
  </si>
  <si>
    <t xml:space="preserve">P00231</t>
  </si>
  <si>
    <t xml:space="preserve">P00699</t>
  </si>
  <si>
    <t xml:space="preserve">P00818</t>
  </si>
  <si>
    <t xml:space="preserve">P00712</t>
  </si>
  <si>
    <t xml:space="preserve">P00077</t>
  </si>
  <si>
    <t xml:space="preserve">P00634</t>
  </si>
  <si>
    <t xml:space="preserve">P00964</t>
  </si>
  <si>
    <t xml:space="preserve">P00248</t>
  </si>
  <si>
    <t xml:space="preserve">P00477</t>
  </si>
  <si>
    <t xml:space="preserve">P00671</t>
  </si>
  <si>
    <t xml:space="preserve">P00086</t>
  </si>
  <si>
    <t xml:space="preserve">P00470</t>
  </si>
  <si>
    <t xml:space="preserve">P00226</t>
  </si>
  <si>
    <t xml:space="preserve">P00775</t>
  </si>
  <si>
    <t xml:space="preserve">P00332</t>
  </si>
  <si>
    <t xml:space="preserve">P00234</t>
  </si>
  <si>
    <t xml:space="preserve">P00589</t>
  </si>
  <si>
    <t xml:space="preserve">P00476</t>
  </si>
  <si>
    <t xml:space="preserve">P00883</t>
  </si>
  <si>
    <t xml:space="preserve">P00863</t>
  </si>
  <si>
    <t xml:space="preserve">P00600</t>
  </si>
  <si>
    <t xml:space="preserve">P00422</t>
  </si>
  <si>
    <t xml:space="preserve">P00688</t>
  </si>
  <si>
    <t xml:space="preserve">P00183</t>
  </si>
  <si>
    <t xml:space="preserve">P00618</t>
  </si>
  <si>
    <t xml:space="preserve">P00333</t>
  </si>
  <si>
    <t xml:space="preserve">P00439</t>
  </si>
  <si>
    <t xml:space="preserve">P00050</t>
  </si>
  <si>
    <t xml:space="preserve">P00006</t>
  </si>
  <si>
    <t xml:space="preserve">P00530</t>
  </si>
  <si>
    <t xml:space="preserve">P00235</t>
  </si>
  <si>
    <t xml:space="preserve">P00487</t>
  </si>
  <si>
    <t xml:space="preserve">P00897</t>
  </si>
  <si>
    <t xml:space="preserve">P00498</t>
  </si>
  <si>
    <t xml:space="preserve">P00891</t>
  </si>
  <si>
    <t xml:space="preserve">P00107</t>
  </si>
  <si>
    <t xml:space="preserve">P00444</t>
  </si>
  <si>
    <t xml:space="preserve">P00489</t>
  </si>
  <si>
    <t xml:space="preserve">P00647</t>
  </si>
  <si>
    <t xml:space="preserve">P00013</t>
  </si>
  <si>
    <t xml:space="preserve">P00739</t>
  </si>
  <si>
    <t xml:space="preserve">P00727</t>
  </si>
  <si>
    <t xml:space="preserve">P00191</t>
  </si>
  <si>
    <t xml:space="preserve">P00938</t>
  </si>
  <si>
    <t xml:space="preserve">P00833</t>
  </si>
  <si>
    <t xml:space="preserve">P00283</t>
  </si>
  <si>
    <t xml:space="preserve">P00030</t>
  </si>
  <si>
    <t xml:space="preserve">P00170</t>
  </si>
  <si>
    <t xml:space="preserve">P00181</t>
  </si>
  <si>
    <t xml:space="preserve">P00101</t>
  </si>
  <si>
    <t xml:space="preserve">P00198</t>
  </si>
  <si>
    <t xml:space="preserve">P00496</t>
  </si>
  <si>
    <t xml:space="preserve">P00722</t>
  </si>
  <si>
    <t xml:space="preserve">P00648</t>
  </si>
  <si>
    <t xml:space="preserve">P00969</t>
  </si>
  <si>
    <t xml:space="preserve">P00925</t>
  </si>
  <si>
    <t xml:space="preserve">P00711</t>
  </si>
  <si>
    <t xml:space="preserve">P00374</t>
  </si>
  <si>
    <t xml:space="preserve">P00679</t>
  </si>
  <si>
    <t xml:space="preserve">P00878</t>
  </si>
  <si>
    <t xml:space="preserve">P00649</t>
  </si>
  <si>
    <t xml:space="preserve">P00798</t>
  </si>
  <si>
    <t xml:space="preserve">P00848</t>
  </si>
  <si>
    <t xml:space="preserve">P00461</t>
  </si>
  <si>
    <t xml:space="preserve">P00414</t>
  </si>
  <si>
    <t xml:space="preserve">P00132</t>
  </si>
  <si>
    <t xml:space="preserve">P00040</t>
  </si>
  <si>
    <t xml:space="preserve">P00435</t>
  </si>
  <si>
    <t xml:space="preserve">P00216</t>
  </si>
  <si>
    <t xml:space="preserve">P00556</t>
  </si>
  <si>
    <t xml:space="preserve">P00567</t>
  </si>
  <si>
    <t xml:space="preserve">P00763</t>
  </si>
  <si>
    <t xml:space="preserve">P00475</t>
  </si>
  <si>
    <t xml:space="preserve">P00457</t>
  </si>
  <si>
    <t xml:space="preserve">P00812</t>
  </si>
  <si>
    <t xml:space="preserve">P00261</t>
  </si>
  <si>
    <t xml:space="preserve">P00817</t>
  </si>
  <si>
    <t xml:space="preserve">P00036</t>
  </si>
  <si>
    <t xml:space="preserve">P00828</t>
  </si>
  <si>
    <t xml:space="preserve">P00310</t>
  </si>
  <si>
    <t xml:space="preserve">P00277</t>
  </si>
  <si>
    <t xml:space="preserve">P00637</t>
  </si>
  <si>
    <t xml:space="preserve">P00655</t>
  </si>
  <si>
    <t xml:space="preserve">P00623</t>
  </si>
  <si>
    <t xml:space="preserve">P00836</t>
  </si>
  <si>
    <t xml:space="preserve">P00845</t>
  </si>
  <si>
    <t xml:space="preserve">P00394</t>
  </si>
  <si>
    <t xml:space="preserve">P00934</t>
  </si>
  <si>
    <t xml:space="preserve">P00108</t>
  </si>
  <si>
    <t xml:space="preserve">P00940</t>
  </si>
  <si>
    <t xml:space="preserve">P00525</t>
  </si>
  <si>
    <t xml:space="preserve">P00785</t>
  </si>
  <si>
    <t xml:space="preserve">P00048</t>
  </si>
  <si>
    <t xml:space="preserve">P00204</t>
  </si>
  <si>
    <t xml:space="preserve">P00922</t>
  </si>
  <si>
    <t xml:space="preserve">P00632</t>
  </si>
  <si>
    <t xml:space="preserve">P00022</t>
  </si>
  <si>
    <t xml:space="preserve">P00403</t>
  </si>
  <si>
    <t xml:space="preserve">P00084</t>
  </si>
  <si>
    <t xml:space="preserve">P00131</t>
  </si>
  <si>
    <t xml:space="preserve">P00416</t>
  </si>
  <si>
    <t xml:space="preserve">P00979</t>
  </si>
  <si>
    <t xml:space="preserve">P00842</t>
  </si>
  <si>
    <t xml:space="preserve">P00742</t>
  </si>
  <si>
    <t xml:space="preserve">P00698</t>
  </si>
  <si>
    <t xml:space="preserve">P00287</t>
  </si>
  <si>
    <t xml:space="preserve">P00124</t>
  </si>
  <si>
    <t xml:space="preserve">P00034</t>
  </si>
  <si>
    <t xml:space="preserve">P00971</t>
  </si>
  <si>
    <t xml:space="preserve">P00517</t>
  </si>
  <si>
    <t xml:space="preserve">P00020</t>
  </si>
  <si>
    <t xml:space="preserve">P00923</t>
  </si>
  <si>
    <t xml:space="preserve">P00220</t>
  </si>
  <si>
    <t xml:space="preserve">P00892</t>
  </si>
  <si>
    <t xml:space="preserve">P00996</t>
  </si>
  <si>
    <t xml:space="preserve">P00482</t>
  </si>
  <si>
    <t xml:space="preserve">P00357</t>
  </si>
  <si>
    <t xml:space="preserve">P00662</t>
  </si>
  <si>
    <t xml:space="preserve">P00225</t>
  </si>
  <si>
    <t xml:space="preserve">P00760</t>
  </si>
  <si>
    <t xml:space="preserve">P00093</t>
  </si>
  <si>
    <t xml:space="preserve">P00152</t>
  </si>
  <si>
    <t xml:space="preserve">P00978</t>
  </si>
  <si>
    <t xml:space="preserve">P00318</t>
  </si>
  <si>
    <t xml:space="preserve">P00449</t>
  </si>
  <si>
    <t xml:space="preserve">P00804</t>
  </si>
  <si>
    <t xml:space="preserve">P00746</t>
  </si>
  <si>
    <t xml:space="preserve">P00523</t>
  </si>
  <si>
    <t xml:space="preserve">P00280</t>
  </si>
  <si>
    <t xml:space="preserve">P00584</t>
  </si>
  <si>
    <t xml:space="preserve">P00765</t>
  </si>
  <si>
    <t xml:space="preserve">P00605</t>
  </si>
  <si>
    <t xml:space="preserve">P00350</t>
  </si>
  <si>
    <t xml:space="preserve">P00928</t>
  </si>
  <si>
    <t xml:space="preserve">P00375</t>
  </si>
  <si>
    <t xml:space="preserve">P00401</t>
  </si>
  <si>
    <t xml:space="preserve">P00705</t>
  </si>
  <si>
    <t xml:space="preserve">P00258</t>
  </si>
  <si>
    <t xml:space="preserve">P00945</t>
  </si>
  <si>
    <t xml:space="preserve">P00852</t>
  </si>
  <si>
    <t xml:space="preserve">P00073</t>
  </si>
  <si>
    <t xml:space="preserve">P00196</t>
  </si>
  <si>
    <t xml:space="preserve">P00484</t>
  </si>
  <si>
    <t xml:space="preserve">P00856</t>
  </si>
  <si>
    <t xml:space="preserve">P00138</t>
  </si>
  <si>
    <t xml:space="preserve">P00495</t>
  </si>
  <si>
    <t xml:space="preserve">P00773</t>
  </si>
  <si>
    <t xml:space="preserve">P00551</t>
  </si>
  <si>
    <t xml:space="preserve">P00463</t>
  </si>
  <si>
    <t xml:space="preserve">P00202</t>
  </si>
  <si>
    <t xml:space="preserve">P00313</t>
  </si>
  <si>
    <t xml:space="preserve">P00291</t>
  </si>
  <si>
    <t xml:space="preserve">P00190</t>
  </si>
  <si>
    <t xml:space="preserve">P00764</t>
  </si>
  <si>
    <t xml:space="preserve">P00113</t>
  </si>
  <si>
    <t xml:space="preserve">P00950</t>
  </si>
  <si>
    <t xml:space="preserve">P00184</t>
  </si>
  <si>
    <t xml:space="preserve">P00153</t>
  </si>
  <si>
    <t xml:space="preserve">P00825</t>
  </si>
  <si>
    <t xml:space="preserve">P00326</t>
  </si>
  <si>
    <t xml:space="preserve">P00704</t>
  </si>
  <si>
    <t xml:space="preserve">P00045</t>
  </si>
  <si>
    <t xml:space="preserve">P00445</t>
  </si>
  <si>
    <t xml:space="preserve">P00788</t>
  </si>
  <si>
    <t xml:space="preserve">P00007</t>
  </si>
  <si>
    <t xml:space="preserve">P00251</t>
  </si>
  <si>
    <t xml:space="preserve">P00824</t>
  </si>
  <si>
    <t xml:space="preserve">P00076</t>
  </si>
  <si>
    <t xml:space="preserve">P00513</t>
  </si>
  <si>
    <t xml:space="preserve">P00941</t>
  </si>
  <si>
    <t xml:space="preserve">P00392</t>
  </si>
  <si>
    <t xml:space="preserve">P00896</t>
  </si>
  <si>
    <t xml:space="preserve">P00433</t>
  </si>
  <si>
    <t xml:space="preserve">P00069</t>
  </si>
  <si>
    <t xml:space="preserve">P00168</t>
  </si>
  <si>
    <t xml:space="preserve">P00905</t>
  </si>
  <si>
    <t xml:space="preserve">P00731</t>
  </si>
  <si>
    <t xml:space="preserve">P00555</t>
  </si>
  <si>
    <t xml:space="preserve">P00367</t>
  </si>
  <si>
    <t xml:space="preserve">P00346</t>
  </si>
  <si>
    <t xml:space="preserve">P00585</t>
  </si>
  <si>
    <t xml:space="preserve">P00536</t>
  </si>
  <si>
    <t xml:space="preserve">P00399</t>
  </si>
  <si>
    <t xml:space="preserve">P00186</t>
  </si>
  <si>
    <t xml:space="preserve">P00349</t>
  </si>
  <si>
    <t xml:space="preserve">P00616</t>
  </si>
  <si>
    <t xml:space="preserve">P00920</t>
  </si>
  <si>
    <t xml:space="preserve">P00212</t>
  </si>
  <si>
    <t xml:space="preserve">P00580</t>
  </si>
  <si>
    <t xml:space="preserve">P00503</t>
  </si>
  <si>
    <t xml:space="preserve">P00538</t>
  </si>
  <si>
    <t xml:space="preserve">P00197</t>
  </si>
  <si>
    <t xml:space="preserve">P00176</t>
  </si>
  <si>
    <t xml:space="preserve">Metric</t>
  </si>
  <si>
    <t xml:space="preserve">Normal Range (Legit)</t>
  </si>
  <si>
    <t xml:space="preserve">Suspicious Threshold</t>
  </si>
  <si>
    <t xml:space="preserve">Notes</t>
  </si>
  <si>
    <t xml:space="preserve">10% - 26%</t>
  </si>
  <si>
    <t xml:space="preserve">&gt; 40%</t>
  </si>
  <si>
    <t xml:space="preserve">Highest of the 3 modes since fights are 1v1 duels, but still bounded by human tracking/spray control.</t>
  </si>
  <si>
    <t xml:space="preserve">8% - 24%</t>
  </si>
  <si>
    <t xml:space="preserve">&gt; 38%</t>
  </si>
  <si>
    <t xml:space="preserve">Slightly lower than Solo due to crossfires with a partner.</t>
  </si>
  <si>
    <t xml:space="preserve">6% - 22%</t>
  </si>
  <si>
    <t xml:space="preserve">&gt; 35%</t>
  </si>
  <si>
    <t xml:space="preserve">Lowest baseline - chaotic multi-angle spray fights push real accuracy down even for good players.</t>
  </si>
  <si>
    <t xml:space="preserve">All</t>
  </si>
  <si>
    <t xml:space="preserve">12% - 30%</t>
  </si>
  <si>
    <t xml:space="preserve">Sustained ratios above 40% across hundreds of matches are very rare without aim assistance.</t>
  </si>
  <si>
    <t xml:space="preserve">1 - 8 (skilled)</t>
  </si>
  <si>
    <t xml:space="preserve">&gt; 12</t>
  </si>
  <si>
    <t xml:space="preserve">A 4 finishes/match (FD) player can have high KD, but it should track with proportionally realistic accuracy, not 90%+.</t>
  </si>
  <si>
    <t xml:space="preserve">0.5 - 3.5 typical, up to ~5 for elite fraggers</t>
  </si>
  <si>
    <t xml:space="preserve">&gt; 6 sustained</t>
  </si>
  <si>
    <t xml:space="preserve">High kill averages alone are not proof - combine with accuracy/headshot ratio.</t>
  </si>
  <si>
    <t xml:space="preserve">Solo/Duo/Squad</t>
  </si>
  <si>
    <t xml:space="preserve">0 in Solo (no teammates); scales with matches in Duo/Squad</t>
  </si>
  <si>
    <t xml:space="preserve">N/A</t>
  </si>
  <si>
    <t xml:space="preserve">A nonzero assist count in Solo mode data is itself a data-integrity red flag, not a cheat signal.</t>
  </si>
  <si>
    <t xml:space="preserve">2% - 20% typical, up to ~35% for pros</t>
  </si>
  <si>
    <t xml:space="preserve">&gt; 45%</t>
  </si>
  <si>
    <t xml:space="preserve">Very high win ratio combined with high accuracy is a stronger signal than either alone.</t>
  </si>
  <si>
    <t xml:space="preserve">KEY INSIGHT: Accuracy is the strongest single feature. A player averaging ~15-16% accuracy (typical) jumping to 90% is not just 'a good game' - it's statistically near-impossible over any real sample size, since accuracy is a sustained ratio across thousands of shots, not a single lucky fight. Your model should weight Accuracy and Headshot_Ratio highest, then use KD/Win_Ratio as supporting (not primary) evidence - high KD alone is achievable legitimately, high KD + 90% accuracy is not.</t>
  </si>
  <si>
    <t xml:space="preserve">Column</t>
  </si>
  <si>
    <t xml:space="preserve">Meaning</t>
  </si>
  <si>
    <t xml:space="preserve">Why it matters</t>
  </si>
  <si>
    <t xml:space="preserve">Total career matches in this mode.</t>
  </si>
  <si>
    <t xml:space="preserve">Larger sample size makes ratio stats (accuracy, HS%) statistically meaningful - flag low-match-count accounts with extreme ratios as noisy, not necessarily hackers.</t>
  </si>
  <si>
    <t xml:space="preserve">Wins / Win_Ratio</t>
  </si>
  <si>
    <t xml:space="preserve">Chicken dinners and win rate.</t>
  </si>
  <si>
    <t xml:space="preserve">High win rate alone is common for skilled squads; only suspicious combined with high accuracy.</t>
  </si>
  <si>
    <t xml:space="preserve">Top10_Finishes / Top10_Ratio</t>
  </si>
  <si>
    <t xml:space="preserve">Matches finishing in top 10.</t>
  </si>
  <si>
    <t xml:space="preserve">Consistency indicator - very high top10 ratio with low survival skill elsewhere is inconsistent.</t>
  </si>
  <si>
    <t xml:space="preserve">Total_Kills / Avg_Kills_Per_Match</t>
  </si>
  <si>
    <t xml:space="preserve">Career kills and per-match average (the 'FD' the user mentioned).</t>
  </si>
  <si>
    <t xml:space="preserve">4-5 kills/match is plausible for a strong fragger - NOT suspicious by itself.</t>
  </si>
  <si>
    <t xml:space="preserve">Best single-match kill count.</t>
  </si>
  <si>
    <t xml:space="preserve">Outlier best-game performance; only weakly informative alone.</t>
  </si>
  <si>
    <t xml:space="preserve">Total_Damage / Avg_Damage_Per_Match</t>
  </si>
  <si>
    <t xml:space="preserve">Career and per-match damage dealt.</t>
  </si>
  <si>
    <t xml:space="preserve">Correlates with kills; hackers tend to have unusually high damage efficiency per encounter.</t>
  </si>
  <si>
    <t xml:space="preserve">Headshot_Kills / Headshot_Ratio</t>
  </si>
  <si>
    <t xml:space="preserve">Kills to the head; ratio of headshots to total kills.</t>
  </si>
  <si>
    <t xml:space="preserve">CRITICAL feature. Legit sustained range ~12-30%. Ratios above ~40% over many matches are a strong signal.</t>
  </si>
  <si>
    <t xml:space="preserve">Shots_Fired / Shots_Hit / Accuracy</t>
  </si>
  <si>
    <t xml:space="preserve">Raw shot counts and hit ratio.</t>
  </si>
  <si>
    <t xml:space="preserve">MOST IMPORTANT feature per the user's own benchmark (~15-16% real accuracy). Legit range ~6-28% depending on mode; anything approaching 40%+ sustained is not humanly achievable through skill alone.</t>
  </si>
  <si>
    <t xml:space="preserve">Career assists.</t>
  </si>
  <si>
    <t xml:space="preserve">Always 0 in Solo mode (no teammates) - use this to validate data integrity, not to detect cheating.</t>
  </si>
  <si>
    <t xml:space="preserve">Solo / Duo / Squad.</t>
  </si>
  <si>
    <t xml:space="preserve">Baselines shift by mode - always compare a player's stats against their OWN mode's benchmark (see Mode_Benchmarks sheet), never across modes.</t>
  </si>
  <si>
    <t xml:space="preserve">Ground-truth target: Legit or Hacker.</t>
  </si>
  <si>
    <t xml:space="preserve">SYNTHETIC data for prototyping. Not real player accusations.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</si>
</sst>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18" min="18" style="0" width="13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2" min="22" style="0" width="22"/>
    <col collapsed="false" customWidth="true" hidden="false" outlineLevel="0" max="23" min="23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2" t="s">
        <v>20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 t="n">
        <v>3181</v>
      </c>
      <c r="D2" s="3" t="n">
        <v>374</v>
      </c>
      <c r="E2" s="3" t="n">
        <v>934</v>
      </c>
      <c r="F2" s="3" t="n">
        <v>10687</v>
      </c>
      <c r="G2" s="3" t="n">
        <v>12</v>
      </c>
      <c r="H2" s="3" t="n">
        <v>1593511.3</v>
      </c>
      <c r="I2" s="3" t="n">
        <v>2241</v>
      </c>
      <c r="J2" s="3" t="n">
        <v>565760</v>
      </c>
      <c r="K2" s="3" t="n">
        <v>157827</v>
      </c>
      <c r="L2" s="3" t="n">
        <v>1303</v>
      </c>
      <c r="M2" s="4" t="n">
        <f aca="false">IFERROR(D2/C2,0)</f>
        <v>0.1175730902232</v>
      </c>
      <c r="N2" s="4" t="n">
        <f aca="false">IFERROR(E2/C2,0)</f>
        <v>0.293618359006602</v>
      </c>
      <c r="O2" s="5" t="n">
        <f aca="false">IFERROR(F2/MAX(C2-D2,1),0)</f>
        <v>3.80726754542216</v>
      </c>
      <c r="P2" s="5" t="n">
        <f aca="false">IFERROR(F2/C2,0)</f>
        <v>3.35963533480038</v>
      </c>
      <c r="Q2" s="5" t="n">
        <f aca="false">IFERROR(H2/C2,0)</f>
        <v>500.946651996228</v>
      </c>
      <c r="R2" s="4" t="n">
        <f aca="false">IFERROR(I2/F2,0)</f>
        <v>0.209694020772902</v>
      </c>
      <c r="S2" s="4" t="n">
        <f aca="false">IFERROR(K2/J2,0)</f>
        <v>0.27896457861991</v>
      </c>
      <c r="T2" s="6" t="s">
        <v>23</v>
      </c>
      <c r="V2" s="7" t="s">
        <v>24</v>
      </c>
      <c r="W2" s="8" t="n">
        <f aca="false">COUNTA(T2:T1001)</f>
        <v>1000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n">
        <v>2619</v>
      </c>
      <c r="D3" s="3" t="n">
        <v>320</v>
      </c>
      <c r="E3" s="3" t="n">
        <v>798</v>
      </c>
      <c r="F3" s="3" t="n">
        <v>7104</v>
      </c>
      <c r="G3" s="3" t="n">
        <v>10</v>
      </c>
      <c r="H3" s="3" t="n">
        <v>1109361.8</v>
      </c>
      <c r="I3" s="3" t="n">
        <v>1395</v>
      </c>
      <c r="J3" s="3" t="n">
        <v>256451</v>
      </c>
      <c r="K3" s="3" t="n">
        <v>53662</v>
      </c>
      <c r="L3" s="3" t="n">
        <v>639</v>
      </c>
      <c r="M3" s="4" t="n">
        <f aca="false">IFERROR(D3/C3,0)</f>
        <v>0.122184039709813</v>
      </c>
      <c r="N3" s="4" t="n">
        <f aca="false">IFERROR(E3/C3,0)</f>
        <v>0.304696449026346</v>
      </c>
      <c r="O3" s="5" t="n">
        <f aca="false">IFERROR(F3/MAX(C3-D3,1),0)</f>
        <v>3.09003914745542</v>
      </c>
      <c r="P3" s="5" t="n">
        <f aca="false">IFERROR(F3/C3,0)</f>
        <v>2.71248568155785</v>
      </c>
      <c r="Q3" s="5" t="n">
        <f aca="false">IFERROR(H3/C3,0)</f>
        <v>423.582206949217</v>
      </c>
      <c r="R3" s="4" t="n">
        <f aca="false">IFERROR(I3/F3,0)</f>
        <v>0.196368243243243</v>
      </c>
      <c r="S3" s="4" t="n">
        <f aca="false">IFERROR(K3/J3,0)</f>
        <v>0.209248550405341</v>
      </c>
      <c r="T3" s="6" t="s">
        <v>23</v>
      </c>
      <c r="V3" s="7" t="s">
        <v>27</v>
      </c>
      <c r="W3" s="8" t="n">
        <f aca="false">COUNTIF(T2:T1001,"Legit")</f>
        <v>750</v>
      </c>
    </row>
    <row r="4" customFormat="false" ht="15" hidden="false" customHeight="false" outlineLevel="0" collapsed="false">
      <c r="A4" s="9" t="s">
        <v>28</v>
      </c>
      <c r="B4" s="9" t="s">
        <v>29</v>
      </c>
      <c r="C4" s="9" t="n">
        <v>1625</v>
      </c>
      <c r="D4" s="9" t="n">
        <v>313</v>
      </c>
      <c r="E4" s="9" t="n">
        <v>782</v>
      </c>
      <c r="F4" s="9" t="n">
        <v>12989</v>
      </c>
      <c r="G4" s="9" t="n">
        <v>19</v>
      </c>
      <c r="H4" s="9" t="n">
        <v>876232.9</v>
      </c>
      <c r="I4" s="9" t="n">
        <v>7382</v>
      </c>
      <c r="J4" s="9" t="n">
        <v>124629</v>
      </c>
      <c r="K4" s="9" t="n">
        <v>55811</v>
      </c>
      <c r="L4" s="9" t="n">
        <v>0</v>
      </c>
      <c r="M4" s="10" t="n">
        <f aca="false">IFERROR(D4/C4,0)</f>
        <v>0.192615384615385</v>
      </c>
      <c r="N4" s="10" t="n">
        <f aca="false">IFERROR(E4/C4,0)</f>
        <v>0.481230769230769</v>
      </c>
      <c r="O4" s="11" t="n">
        <f aca="false">IFERROR(F4/MAX(C4-D4,1),0)</f>
        <v>9.90015243902439</v>
      </c>
      <c r="P4" s="11" t="n">
        <f aca="false">IFERROR(F4/C4,0)</f>
        <v>7.99323076923077</v>
      </c>
      <c r="Q4" s="11" t="n">
        <f aca="false">IFERROR(H4/C4,0)</f>
        <v>539.220246153846</v>
      </c>
      <c r="R4" s="10" t="n">
        <f aca="false">IFERROR(I4/F4,0)</f>
        <v>0.568327045961968</v>
      </c>
      <c r="S4" s="10" t="n">
        <f aca="false">IFERROR(K4/J4,0)</f>
        <v>0.447817121215768</v>
      </c>
      <c r="T4" s="12" t="s">
        <v>30</v>
      </c>
      <c r="V4" s="7" t="s">
        <v>31</v>
      </c>
      <c r="W4" s="8" t="n">
        <f aca="false">COUNTIF(T2:T1001,"Hacker")</f>
        <v>250</v>
      </c>
    </row>
    <row r="5" customFormat="false" ht="15" hidden="false" customHeight="false" outlineLevel="0" collapsed="false">
      <c r="A5" s="3" t="s">
        <v>32</v>
      </c>
      <c r="B5" s="3" t="s">
        <v>22</v>
      </c>
      <c r="C5" s="3" t="n">
        <v>2302</v>
      </c>
      <c r="D5" s="3" t="n">
        <v>230</v>
      </c>
      <c r="E5" s="3" t="n">
        <v>962</v>
      </c>
      <c r="F5" s="3" t="n">
        <v>8351</v>
      </c>
      <c r="G5" s="3" t="n">
        <v>14</v>
      </c>
      <c r="H5" s="3" t="n">
        <v>1140498.9</v>
      </c>
      <c r="I5" s="3" t="n">
        <v>2111</v>
      </c>
      <c r="J5" s="3" t="n">
        <v>238665</v>
      </c>
      <c r="K5" s="3" t="n">
        <v>45761</v>
      </c>
      <c r="L5" s="3" t="n">
        <v>1195</v>
      </c>
      <c r="M5" s="4" t="n">
        <f aca="false">IFERROR(D5/C5,0)</f>
        <v>0.0999131190269331</v>
      </c>
      <c r="N5" s="4" t="n">
        <f aca="false">IFERROR(E5/C5,0)</f>
        <v>0.417897480451781</v>
      </c>
      <c r="O5" s="5" t="n">
        <f aca="false">IFERROR(F5/MAX(C5-D5,1),0)</f>
        <v>4.03040540540541</v>
      </c>
      <c r="P5" s="5" t="n">
        <f aca="false">IFERROR(F5/C5,0)</f>
        <v>3.62771503040834</v>
      </c>
      <c r="Q5" s="5" t="n">
        <f aca="false">IFERROR(H5/C5,0)</f>
        <v>495.438271068636</v>
      </c>
      <c r="R5" s="4" t="n">
        <f aca="false">IFERROR(I5/F5,0)</f>
        <v>0.252784097712849</v>
      </c>
      <c r="S5" s="4" t="n">
        <f aca="false">IFERROR(K5/J5,0)</f>
        <v>0.191737372467685</v>
      </c>
      <c r="T5" s="6" t="s">
        <v>23</v>
      </c>
      <c r="V5" s="7" t="s">
        <v>33</v>
      </c>
      <c r="W5" s="13" t="n">
        <f aca="false">AVERAGEIF(T2:T1001,"Legit",S2:S1001)</f>
        <v>0.188641694555608</v>
      </c>
    </row>
    <row r="6" customFormat="false" ht="15" hidden="false" customHeight="false" outlineLevel="0" collapsed="false">
      <c r="A6" s="3" t="s">
        <v>34</v>
      </c>
      <c r="B6" s="3" t="s">
        <v>29</v>
      </c>
      <c r="C6" s="3" t="n">
        <v>3231</v>
      </c>
      <c r="D6" s="3" t="n">
        <v>565</v>
      </c>
      <c r="E6" s="3" t="n">
        <v>1547</v>
      </c>
      <c r="F6" s="3" t="n">
        <v>10403</v>
      </c>
      <c r="G6" s="3" t="n">
        <v>14</v>
      </c>
      <c r="H6" s="3" t="n">
        <v>1930633</v>
      </c>
      <c r="I6" s="3" t="n">
        <v>1568</v>
      </c>
      <c r="J6" s="3" t="n">
        <v>400935</v>
      </c>
      <c r="K6" s="3" t="n">
        <v>103420</v>
      </c>
      <c r="L6" s="3" t="n">
        <v>0</v>
      </c>
      <c r="M6" s="4" t="n">
        <f aca="false">IFERROR(D6/C6,0)</f>
        <v>0.17486846177654</v>
      </c>
      <c r="N6" s="4" t="n">
        <f aca="false">IFERROR(E6/C6,0)</f>
        <v>0.478799133395234</v>
      </c>
      <c r="O6" s="5" t="n">
        <f aca="false">IFERROR(F6/MAX(C6-D6,1),0)</f>
        <v>3.90210052513128</v>
      </c>
      <c r="P6" s="5" t="n">
        <f aca="false">IFERROR(F6/C6,0)</f>
        <v>3.21974620860415</v>
      </c>
      <c r="Q6" s="5" t="n">
        <f aca="false">IFERROR(H6/C6,0)</f>
        <v>597.5341999381</v>
      </c>
      <c r="R6" s="4" t="n">
        <f aca="false">IFERROR(I6/F6,0)</f>
        <v>0.150725752186869</v>
      </c>
      <c r="S6" s="4" t="n">
        <f aca="false">IFERROR(K6/J6,0)</f>
        <v>0.257947048773492</v>
      </c>
      <c r="T6" s="6" t="s">
        <v>23</v>
      </c>
      <c r="V6" s="7" t="s">
        <v>35</v>
      </c>
      <c r="W6" s="13" t="n">
        <f aca="false">AVERAGEIF(T2:T1001,"Hacker",S2:S1001)</f>
        <v>0.679668264628426</v>
      </c>
    </row>
    <row r="7" customFormat="false" ht="15" hidden="false" customHeight="false" outlineLevel="0" collapsed="false">
      <c r="A7" s="3" t="s">
        <v>36</v>
      </c>
      <c r="B7" s="3" t="s">
        <v>26</v>
      </c>
      <c r="C7" s="3" t="n">
        <v>3814</v>
      </c>
      <c r="D7" s="3" t="n">
        <v>523</v>
      </c>
      <c r="E7" s="3" t="n">
        <v>1169</v>
      </c>
      <c r="F7" s="3" t="n">
        <v>11908</v>
      </c>
      <c r="G7" s="3" t="n">
        <v>15</v>
      </c>
      <c r="H7" s="3" t="n">
        <v>1468460.3</v>
      </c>
      <c r="I7" s="3" t="n">
        <v>2146</v>
      </c>
      <c r="J7" s="3" t="n">
        <v>293674</v>
      </c>
      <c r="K7" s="3" t="n">
        <v>65986</v>
      </c>
      <c r="L7" s="3" t="n">
        <v>642</v>
      </c>
      <c r="M7" s="4" t="n">
        <f aca="false">IFERROR(D7/C7,0)</f>
        <v>0.137126376507604</v>
      </c>
      <c r="N7" s="4" t="n">
        <f aca="false">IFERROR(E7/C7,0)</f>
        <v>0.30650235972732</v>
      </c>
      <c r="O7" s="5" t="n">
        <f aca="false">IFERROR(F7/MAX(C7-D7,1),0)</f>
        <v>3.61835308416895</v>
      </c>
      <c r="P7" s="5" t="n">
        <f aca="false">IFERROR(F7/C7,0)</f>
        <v>3.12218143681175</v>
      </c>
      <c r="Q7" s="5" t="n">
        <f aca="false">IFERROR(H7/C7,0)</f>
        <v>385.018432092292</v>
      </c>
      <c r="R7" s="4" t="n">
        <f aca="false">IFERROR(I7/F7,0)</f>
        <v>0.180214981525025</v>
      </c>
      <c r="S7" s="4" t="n">
        <f aca="false">IFERROR(K7/J7,0)</f>
        <v>0.224691324393715</v>
      </c>
      <c r="T7" s="6" t="s">
        <v>23</v>
      </c>
      <c r="V7" s="7" t="s">
        <v>37</v>
      </c>
      <c r="W7" s="13" t="n">
        <f aca="false">AVERAGEIF(T2:T1001,"Legit",R2:R1001)</f>
        <v>0.189959872668538</v>
      </c>
    </row>
    <row r="8" customFormat="false" ht="15" hidden="false" customHeight="false" outlineLevel="0" collapsed="false">
      <c r="A8" s="3" t="s">
        <v>38</v>
      </c>
      <c r="B8" s="3" t="s">
        <v>22</v>
      </c>
      <c r="C8" s="3" t="n">
        <v>1171</v>
      </c>
      <c r="D8" s="3" t="n">
        <v>153</v>
      </c>
      <c r="E8" s="3" t="n">
        <v>459</v>
      </c>
      <c r="F8" s="3" t="n">
        <v>2765</v>
      </c>
      <c r="G8" s="3" t="n">
        <v>9</v>
      </c>
      <c r="H8" s="3" t="n">
        <v>592107.2</v>
      </c>
      <c r="I8" s="3" t="n">
        <v>598</v>
      </c>
      <c r="J8" s="3" t="n">
        <v>189561</v>
      </c>
      <c r="K8" s="3" t="n">
        <v>29781</v>
      </c>
      <c r="L8" s="3" t="n">
        <v>204</v>
      </c>
      <c r="M8" s="4" t="n">
        <f aca="false">IFERROR(D8/C8,0)</f>
        <v>0.13065755764304</v>
      </c>
      <c r="N8" s="4" t="n">
        <f aca="false">IFERROR(E8/C8,0)</f>
        <v>0.39197267292912</v>
      </c>
      <c r="O8" s="5" t="n">
        <f aca="false">IFERROR(F8/MAX(C8-D8,1),0)</f>
        <v>2.71611001964637</v>
      </c>
      <c r="P8" s="5" t="n">
        <f aca="false">IFERROR(F8/C8,0)</f>
        <v>2.36122971818958</v>
      </c>
      <c r="Q8" s="5" t="n">
        <f aca="false">IFERROR(H8/C8,0)</f>
        <v>505.642356959863</v>
      </c>
      <c r="R8" s="4" t="n">
        <f aca="false">IFERROR(I8/F8,0)</f>
        <v>0.21627486437613</v>
      </c>
      <c r="S8" s="4" t="n">
        <f aca="false">IFERROR(K8/J8,0)</f>
        <v>0.157105100732746</v>
      </c>
      <c r="T8" s="6" t="s">
        <v>23</v>
      </c>
      <c r="V8" s="7" t="s">
        <v>39</v>
      </c>
      <c r="W8" s="13" t="n">
        <f aca="false">AVERAGEIF(T2:T1001,"Hacker",R2:R1001)</f>
        <v>0.635264115516142</v>
      </c>
    </row>
    <row r="9" customFormat="false" ht="15" hidden="false" customHeight="false" outlineLevel="0" collapsed="false">
      <c r="A9" s="3" t="s">
        <v>40</v>
      </c>
      <c r="B9" s="3" t="s">
        <v>29</v>
      </c>
      <c r="C9" s="3" t="n">
        <v>3123</v>
      </c>
      <c r="D9" s="3" t="n">
        <v>390</v>
      </c>
      <c r="E9" s="3" t="n">
        <v>1161</v>
      </c>
      <c r="F9" s="3" t="n">
        <v>6185</v>
      </c>
      <c r="G9" s="3" t="n">
        <v>9</v>
      </c>
      <c r="H9" s="3" t="n">
        <v>1520308.5</v>
      </c>
      <c r="I9" s="3" t="n">
        <v>1630</v>
      </c>
      <c r="J9" s="3" t="n">
        <v>311071</v>
      </c>
      <c r="K9" s="3" t="n">
        <v>59736</v>
      </c>
      <c r="L9" s="3" t="n">
        <v>0</v>
      </c>
      <c r="M9" s="4" t="n">
        <f aca="false">IFERROR(D9/C9,0)</f>
        <v>0.124879923150817</v>
      </c>
      <c r="N9" s="4" t="n">
        <f aca="false">IFERROR(E9/C9,0)</f>
        <v>0.371757925072046</v>
      </c>
      <c r="O9" s="5" t="n">
        <f aca="false">IFERROR(F9/MAX(C9-D9,1),0)</f>
        <v>2.26308086351994</v>
      </c>
      <c r="P9" s="5" t="n">
        <f aca="false">IFERROR(F9/C9,0)</f>
        <v>1.98046749919949</v>
      </c>
      <c r="Q9" s="5" t="n">
        <f aca="false">IFERROR(H9/C9,0)</f>
        <v>486.81027857829</v>
      </c>
      <c r="R9" s="4" t="n">
        <f aca="false">IFERROR(I9/F9,0)</f>
        <v>0.263540824575586</v>
      </c>
      <c r="S9" s="4" t="n">
        <f aca="false">IFERROR(K9/J9,0)</f>
        <v>0.192033330011477</v>
      </c>
      <c r="T9" s="6" t="s">
        <v>23</v>
      </c>
      <c r="V9" s="7" t="s">
        <v>41</v>
      </c>
      <c r="W9" s="14" t="n">
        <f aca="false">AVERAGEIF(T2:T1001,"Legit",O2:O1001)</f>
        <v>2.88829316969851</v>
      </c>
    </row>
    <row r="10" customFormat="false" ht="15" hidden="false" customHeight="false" outlineLevel="0" collapsed="false">
      <c r="A10" s="3" t="s">
        <v>42</v>
      </c>
      <c r="B10" s="3" t="s">
        <v>26</v>
      </c>
      <c r="C10" s="3" t="n">
        <v>3919</v>
      </c>
      <c r="D10" s="3" t="n">
        <v>470</v>
      </c>
      <c r="E10" s="3" t="n">
        <v>1710</v>
      </c>
      <c r="F10" s="3" t="n">
        <v>11506</v>
      </c>
      <c r="G10" s="3" t="n">
        <v>12</v>
      </c>
      <c r="H10" s="3" t="n">
        <v>1921366.8</v>
      </c>
      <c r="I10" s="3" t="n">
        <v>1675</v>
      </c>
      <c r="J10" s="3" t="n">
        <v>486399</v>
      </c>
      <c r="K10" s="3" t="n">
        <v>89213</v>
      </c>
      <c r="L10" s="3" t="n">
        <v>870</v>
      </c>
      <c r="M10" s="4" t="n">
        <f aca="false">IFERROR(D10/C10,0)</f>
        <v>0.119928553202348</v>
      </c>
      <c r="N10" s="4" t="n">
        <f aca="false">IFERROR(E10/C10,0)</f>
        <v>0.436335799948967</v>
      </c>
      <c r="O10" s="5" t="n">
        <f aca="false">IFERROR(F10/MAX(C10-D10,1),0)</f>
        <v>3.33603943171934</v>
      </c>
      <c r="P10" s="5" t="n">
        <f aca="false">IFERROR(F10/C10,0)</f>
        <v>2.93595304924726</v>
      </c>
      <c r="Q10" s="5" t="n">
        <f aca="false">IFERROR(H10/C10,0)</f>
        <v>490.269660627711</v>
      </c>
      <c r="R10" s="4" t="n">
        <f aca="false">IFERROR(I10/F10,0)</f>
        <v>0.145576221102034</v>
      </c>
      <c r="S10" s="4" t="n">
        <f aca="false">IFERROR(K10/J10,0)</f>
        <v>0.183415261955719</v>
      </c>
      <c r="T10" s="6" t="s">
        <v>23</v>
      </c>
      <c r="V10" s="7" t="s">
        <v>43</v>
      </c>
      <c r="W10" s="14" t="n">
        <f aca="false">AVERAGEIF(T2:T1001,"Hacker",O2:O1001)</f>
        <v>10.5035573496838</v>
      </c>
    </row>
    <row r="11" customFormat="false" ht="15" hidden="false" customHeight="false" outlineLevel="0" collapsed="false">
      <c r="A11" s="3" t="s">
        <v>44</v>
      </c>
      <c r="B11" s="3" t="s">
        <v>29</v>
      </c>
      <c r="C11" s="3" t="n">
        <v>2314</v>
      </c>
      <c r="D11" s="3" t="n">
        <v>146</v>
      </c>
      <c r="E11" s="3" t="n">
        <v>736</v>
      </c>
      <c r="F11" s="3" t="n">
        <v>1858</v>
      </c>
      <c r="G11" s="3" t="n">
        <v>0</v>
      </c>
      <c r="H11" s="3" t="n">
        <v>1064374</v>
      </c>
      <c r="I11" s="3" t="n">
        <v>185</v>
      </c>
      <c r="J11" s="3" t="n">
        <v>415698</v>
      </c>
      <c r="K11" s="3" t="n">
        <v>60522</v>
      </c>
      <c r="L11" s="3" t="n">
        <v>0</v>
      </c>
      <c r="M11" s="4" t="n">
        <f aca="false">IFERROR(D11/C11,0)</f>
        <v>0.0630942091616249</v>
      </c>
      <c r="N11" s="4" t="n">
        <f aca="false">IFERROR(E11/C11,0)</f>
        <v>0.318063958513397</v>
      </c>
      <c r="O11" s="5" t="n">
        <f aca="false">IFERROR(F11/MAX(C11-D11,1),0)</f>
        <v>0.857011070110701</v>
      </c>
      <c r="P11" s="5" t="n">
        <f aca="false">IFERROR(F11/C11,0)</f>
        <v>0.802938634399309</v>
      </c>
      <c r="Q11" s="5" t="n">
        <f aca="false">IFERROR(H11/C11,0)</f>
        <v>459.971477960242</v>
      </c>
      <c r="R11" s="4" t="n">
        <f aca="false">IFERROR(I11/F11,0)</f>
        <v>0.0995694294940797</v>
      </c>
      <c r="S11" s="4" t="n">
        <f aca="false">IFERROR(K11/J11,0)</f>
        <v>0.145591270585858</v>
      </c>
      <c r="T11" s="6" t="s">
        <v>23</v>
      </c>
    </row>
    <row r="12" customFormat="false" ht="15" hidden="false" customHeight="false" outlineLevel="0" collapsed="false">
      <c r="A12" s="3" t="s">
        <v>45</v>
      </c>
      <c r="B12" s="3" t="s">
        <v>29</v>
      </c>
      <c r="C12" s="3" t="n">
        <v>3088</v>
      </c>
      <c r="D12" s="3" t="n">
        <v>300</v>
      </c>
      <c r="E12" s="3" t="n">
        <v>1304</v>
      </c>
      <c r="F12" s="3" t="n">
        <v>7549</v>
      </c>
      <c r="G12" s="3" t="n">
        <v>12</v>
      </c>
      <c r="H12" s="3" t="n">
        <v>1444185.7</v>
      </c>
      <c r="I12" s="3" t="n">
        <v>1117</v>
      </c>
      <c r="J12" s="3" t="n">
        <v>238220</v>
      </c>
      <c r="K12" s="3" t="n">
        <v>63766</v>
      </c>
      <c r="L12" s="3" t="n">
        <v>0</v>
      </c>
      <c r="M12" s="4" t="n">
        <f aca="false">IFERROR(D12/C12,0)</f>
        <v>0.0971502590673575</v>
      </c>
      <c r="N12" s="4" t="n">
        <f aca="false">IFERROR(E12/C12,0)</f>
        <v>0.422279792746114</v>
      </c>
      <c r="O12" s="5" t="n">
        <f aca="false">IFERROR(F12/MAX(C12-D12,1),0)</f>
        <v>2.70767575322812</v>
      </c>
      <c r="P12" s="5" t="n">
        <f aca="false">IFERROR(F12/C12,0)</f>
        <v>2.44462435233161</v>
      </c>
      <c r="Q12" s="5" t="n">
        <f aca="false">IFERROR(H12/C12,0)</f>
        <v>467.676716321244</v>
      </c>
      <c r="R12" s="4" t="n">
        <f aca="false">IFERROR(I12/F12,0)</f>
        <v>0.147966618095112</v>
      </c>
      <c r="S12" s="4" t="n">
        <f aca="false">IFERROR(K12/J12,0)</f>
        <v>0.267676937284863</v>
      </c>
      <c r="T12" s="6" t="s">
        <v>23</v>
      </c>
    </row>
    <row r="13" customFormat="false" ht="15" hidden="false" customHeight="false" outlineLevel="0" collapsed="false">
      <c r="A13" s="3" t="s">
        <v>46</v>
      </c>
      <c r="B13" s="3" t="s">
        <v>29</v>
      </c>
      <c r="C13" s="3" t="n">
        <v>2212</v>
      </c>
      <c r="D13" s="3" t="n">
        <v>198</v>
      </c>
      <c r="E13" s="3" t="n">
        <v>840</v>
      </c>
      <c r="F13" s="3" t="n">
        <v>4038</v>
      </c>
      <c r="G13" s="3" t="n">
        <v>10</v>
      </c>
      <c r="H13" s="3" t="n">
        <v>949945.8</v>
      </c>
      <c r="I13" s="3" t="n">
        <v>798</v>
      </c>
      <c r="J13" s="3" t="n">
        <v>361463</v>
      </c>
      <c r="K13" s="3" t="n">
        <v>84796</v>
      </c>
      <c r="L13" s="3" t="n">
        <v>0</v>
      </c>
      <c r="M13" s="4" t="n">
        <f aca="false">IFERROR(D13/C13,0)</f>
        <v>0.0895117540687161</v>
      </c>
      <c r="N13" s="4" t="n">
        <f aca="false">IFERROR(E13/C13,0)</f>
        <v>0.379746835443038</v>
      </c>
      <c r="O13" s="5" t="n">
        <f aca="false">IFERROR(F13/MAX(C13-D13,1),0)</f>
        <v>2.00496524329692</v>
      </c>
      <c r="P13" s="5" t="n">
        <f aca="false">IFERROR(F13/C13,0)</f>
        <v>1.8254972875226</v>
      </c>
      <c r="Q13" s="5" t="n">
        <f aca="false">IFERROR(H13/C13,0)</f>
        <v>429.451084990958</v>
      </c>
      <c r="R13" s="4" t="n">
        <f aca="false">IFERROR(I13/F13,0)</f>
        <v>0.197622585438336</v>
      </c>
      <c r="S13" s="4" t="n">
        <f aca="false">IFERROR(K13/J13,0)</f>
        <v>0.23459109231097</v>
      </c>
      <c r="T13" s="6" t="s">
        <v>23</v>
      </c>
    </row>
    <row r="14" customFormat="false" ht="15" hidden="false" customHeight="false" outlineLevel="0" collapsed="false">
      <c r="A14" s="3" t="s">
        <v>47</v>
      </c>
      <c r="B14" s="3" t="s">
        <v>26</v>
      </c>
      <c r="C14" s="3" t="n">
        <v>1839</v>
      </c>
      <c r="D14" s="3" t="n">
        <v>281</v>
      </c>
      <c r="E14" s="3" t="n">
        <v>883</v>
      </c>
      <c r="F14" s="3" t="n">
        <v>3386</v>
      </c>
      <c r="G14" s="3" t="n">
        <v>12</v>
      </c>
      <c r="H14" s="3" t="n">
        <v>1232409.5</v>
      </c>
      <c r="I14" s="3" t="n">
        <v>466</v>
      </c>
      <c r="J14" s="3" t="n">
        <v>298333</v>
      </c>
      <c r="K14" s="3" t="n">
        <v>66307</v>
      </c>
      <c r="L14" s="3" t="n">
        <v>666</v>
      </c>
      <c r="M14" s="4" t="n">
        <f aca="false">IFERROR(D14/C14,0)</f>
        <v>0.152800435019032</v>
      </c>
      <c r="N14" s="4" t="n">
        <f aca="false">IFERROR(E14/C14,0)</f>
        <v>0.480152256661229</v>
      </c>
      <c r="O14" s="5" t="n">
        <f aca="false">IFERROR(F14/MAX(C14-D14,1),0)</f>
        <v>2.17329910141207</v>
      </c>
      <c r="P14" s="5" t="n">
        <f aca="false">IFERROR(F14/C14,0)</f>
        <v>1.84121805328983</v>
      </c>
      <c r="Q14" s="5" t="n">
        <f aca="false">IFERROR(H14/C14,0)</f>
        <v>670.151984774334</v>
      </c>
      <c r="R14" s="4" t="n">
        <f aca="false">IFERROR(I14/F14,0)</f>
        <v>0.137625516834022</v>
      </c>
      <c r="S14" s="4" t="n">
        <f aca="false">IFERROR(K14/J14,0)</f>
        <v>0.22225834889201</v>
      </c>
      <c r="T14" s="6" t="s">
        <v>23</v>
      </c>
    </row>
    <row r="15" customFormat="false" ht="15" hidden="false" customHeight="false" outlineLevel="0" collapsed="false">
      <c r="A15" s="9" t="s">
        <v>48</v>
      </c>
      <c r="B15" s="9" t="s">
        <v>22</v>
      </c>
      <c r="C15" s="9" t="n">
        <v>3766</v>
      </c>
      <c r="D15" s="9" t="n">
        <v>817</v>
      </c>
      <c r="E15" s="9" t="n">
        <v>1402</v>
      </c>
      <c r="F15" s="9" t="n">
        <v>21831</v>
      </c>
      <c r="G15" s="9" t="n">
        <v>17</v>
      </c>
      <c r="H15" s="9" t="n">
        <v>2492231.3</v>
      </c>
      <c r="I15" s="9" t="n">
        <v>14608</v>
      </c>
      <c r="J15" s="9" t="n">
        <v>300328</v>
      </c>
      <c r="K15" s="9" t="n">
        <v>223948</v>
      </c>
      <c r="L15" s="9" t="n">
        <v>940</v>
      </c>
      <c r="M15" s="10" t="n">
        <f aca="false">IFERROR(D15/C15,0)</f>
        <v>0.216941051513542</v>
      </c>
      <c r="N15" s="10" t="n">
        <f aca="false">IFERROR(E15/C15,0)</f>
        <v>0.372278279341476</v>
      </c>
      <c r="O15" s="11" t="n">
        <f aca="false">IFERROR(F15/MAX(C15-D15,1),0)</f>
        <v>7.4028484231943</v>
      </c>
      <c r="P15" s="11" t="n">
        <f aca="false">IFERROR(F15/C15,0)</f>
        <v>5.79686670207116</v>
      </c>
      <c r="Q15" s="11" t="n">
        <f aca="false">IFERROR(H15/C15,0)</f>
        <v>661.771455124801</v>
      </c>
      <c r="R15" s="10" t="n">
        <f aca="false">IFERROR(I15/F15,0)</f>
        <v>0.669140213457927</v>
      </c>
      <c r="S15" s="10" t="n">
        <f aca="false">IFERROR(K15/J15,0)</f>
        <v>0.74567805865587</v>
      </c>
      <c r="T15" s="12" t="s">
        <v>30</v>
      </c>
    </row>
    <row r="16" customFormat="false" ht="15" hidden="false" customHeight="false" outlineLevel="0" collapsed="false">
      <c r="A16" s="3" t="s">
        <v>49</v>
      </c>
      <c r="B16" s="3" t="s">
        <v>22</v>
      </c>
      <c r="C16" s="3" t="n">
        <v>1820</v>
      </c>
      <c r="D16" s="3" t="n">
        <v>114</v>
      </c>
      <c r="E16" s="3" t="n">
        <v>441</v>
      </c>
      <c r="F16" s="3" t="n">
        <v>4149</v>
      </c>
      <c r="G16" s="3" t="n">
        <v>10</v>
      </c>
      <c r="H16" s="3" t="n">
        <v>683674.5</v>
      </c>
      <c r="I16" s="3" t="n">
        <v>962</v>
      </c>
      <c r="J16" s="3" t="n">
        <v>181502</v>
      </c>
      <c r="K16" s="3" t="n">
        <v>35004</v>
      </c>
      <c r="L16" s="3" t="n">
        <v>412</v>
      </c>
      <c r="M16" s="4" t="n">
        <f aca="false">IFERROR(D16/C16,0)</f>
        <v>0.0626373626373626</v>
      </c>
      <c r="N16" s="4" t="n">
        <f aca="false">IFERROR(E16/C16,0)</f>
        <v>0.242307692307692</v>
      </c>
      <c r="O16" s="5" t="n">
        <f aca="false">IFERROR(F16/MAX(C16-D16,1),0)</f>
        <v>2.43200468933177</v>
      </c>
      <c r="P16" s="5" t="n">
        <f aca="false">IFERROR(F16/C16,0)</f>
        <v>2.27967032967033</v>
      </c>
      <c r="Q16" s="5" t="n">
        <f aca="false">IFERROR(H16/C16,0)</f>
        <v>375.64532967033</v>
      </c>
      <c r="R16" s="4" t="n">
        <f aca="false">IFERROR(I16/F16,0)</f>
        <v>0.231863099542058</v>
      </c>
      <c r="S16" s="4" t="n">
        <f aca="false">IFERROR(K16/J16,0)</f>
        <v>0.19285737898205</v>
      </c>
      <c r="T16" s="6" t="s">
        <v>23</v>
      </c>
    </row>
    <row r="17" customFormat="false" ht="15" hidden="false" customHeight="false" outlineLevel="0" collapsed="false">
      <c r="A17" s="3" t="s">
        <v>50</v>
      </c>
      <c r="B17" s="3" t="s">
        <v>26</v>
      </c>
      <c r="C17" s="3" t="n">
        <v>1574</v>
      </c>
      <c r="D17" s="3" t="n">
        <v>162</v>
      </c>
      <c r="E17" s="3" t="n">
        <v>587</v>
      </c>
      <c r="F17" s="3" t="n">
        <v>4549</v>
      </c>
      <c r="G17" s="3" t="n">
        <v>9</v>
      </c>
      <c r="H17" s="3" t="n">
        <v>683793.7</v>
      </c>
      <c r="I17" s="3" t="n">
        <v>929</v>
      </c>
      <c r="J17" s="3" t="n">
        <v>206597</v>
      </c>
      <c r="K17" s="3" t="n">
        <v>43114</v>
      </c>
      <c r="L17" s="3" t="n">
        <v>664</v>
      </c>
      <c r="M17" s="4" t="n">
        <f aca="false">IFERROR(D17/C17,0)</f>
        <v>0.10292249047014</v>
      </c>
      <c r="N17" s="4" t="n">
        <f aca="false">IFERROR(E17/C17,0)</f>
        <v>0.372935196950445</v>
      </c>
      <c r="O17" s="5" t="n">
        <f aca="false">IFERROR(F17/MAX(C17-D17,1),0)</f>
        <v>3.22167138810198</v>
      </c>
      <c r="P17" s="5" t="n">
        <f aca="false">IFERROR(F17/C17,0)</f>
        <v>2.89008894536214</v>
      </c>
      <c r="Q17" s="5" t="n">
        <f aca="false">IFERROR(H17/C17,0)</f>
        <v>434.430559085133</v>
      </c>
      <c r="R17" s="4" t="n">
        <f aca="false">IFERROR(I17/F17,0)</f>
        <v>0.204220707847879</v>
      </c>
      <c r="S17" s="4" t="n">
        <f aca="false">IFERROR(K17/J17,0)</f>
        <v>0.208686476570328</v>
      </c>
      <c r="T17" s="6" t="s">
        <v>23</v>
      </c>
    </row>
    <row r="18" customFormat="false" ht="15" hidden="false" customHeight="false" outlineLevel="0" collapsed="false">
      <c r="A18" s="3" t="s">
        <v>51</v>
      </c>
      <c r="B18" s="3" t="s">
        <v>29</v>
      </c>
      <c r="C18" s="3" t="n">
        <v>3292</v>
      </c>
      <c r="D18" s="3" t="n">
        <v>274</v>
      </c>
      <c r="E18" s="3" t="n">
        <v>1419</v>
      </c>
      <c r="F18" s="3" t="n">
        <v>6705</v>
      </c>
      <c r="G18" s="3" t="n">
        <v>9</v>
      </c>
      <c r="H18" s="3" t="n">
        <v>2207999.5</v>
      </c>
      <c r="I18" s="3" t="n">
        <v>1282</v>
      </c>
      <c r="J18" s="3" t="n">
        <v>447343</v>
      </c>
      <c r="K18" s="3" t="n">
        <v>83930</v>
      </c>
      <c r="L18" s="3" t="n">
        <v>0</v>
      </c>
      <c r="M18" s="4" t="n">
        <f aca="false">IFERROR(D18/C18,0)</f>
        <v>0.083232077764277</v>
      </c>
      <c r="N18" s="4" t="n">
        <f aca="false">IFERROR(E18/C18,0)</f>
        <v>0.431044957472661</v>
      </c>
      <c r="O18" s="5" t="n">
        <f aca="false">IFERROR(F18/MAX(C18-D18,1),0)</f>
        <v>2.22166998011928</v>
      </c>
      <c r="P18" s="5" t="n">
        <f aca="false">IFERROR(F18/C18,0)</f>
        <v>2.03675577156744</v>
      </c>
      <c r="Q18" s="5" t="n">
        <f aca="false">IFERROR(H18/C18,0)</f>
        <v>670.716737545565</v>
      </c>
      <c r="R18" s="4" t="n">
        <f aca="false">IFERROR(I18/F18,0)</f>
        <v>0.191200596569724</v>
      </c>
      <c r="S18" s="4" t="n">
        <f aca="false">IFERROR(K18/J18,0)</f>
        <v>0.187618896461999</v>
      </c>
      <c r="T18" s="6" t="s">
        <v>23</v>
      </c>
    </row>
    <row r="19" customFormat="false" ht="15" hidden="false" customHeight="false" outlineLevel="0" collapsed="false">
      <c r="A19" s="3" t="s">
        <v>52</v>
      </c>
      <c r="B19" s="3" t="s">
        <v>26</v>
      </c>
      <c r="C19" s="3" t="n">
        <v>292</v>
      </c>
      <c r="D19" s="3" t="n">
        <v>43</v>
      </c>
      <c r="E19" s="3" t="n">
        <v>102</v>
      </c>
      <c r="F19" s="3" t="n">
        <v>929</v>
      </c>
      <c r="G19" s="3" t="n">
        <v>12</v>
      </c>
      <c r="H19" s="3" t="n">
        <v>150777.2</v>
      </c>
      <c r="I19" s="3" t="n">
        <v>236</v>
      </c>
      <c r="J19" s="3" t="n">
        <v>31759</v>
      </c>
      <c r="K19" s="3" t="n">
        <v>7272</v>
      </c>
      <c r="L19" s="3" t="n">
        <v>126</v>
      </c>
      <c r="M19" s="4" t="n">
        <f aca="false">IFERROR(D19/C19,0)</f>
        <v>0.147260273972603</v>
      </c>
      <c r="N19" s="4" t="n">
        <f aca="false">IFERROR(E19/C19,0)</f>
        <v>0.349315068493151</v>
      </c>
      <c r="O19" s="5" t="n">
        <f aca="false">IFERROR(F19/MAX(C19-D19,1),0)</f>
        <v>3.73092369477912</v>
      </c>
      <c r="P19" s="5" t="n">
        <f aca="false">IFERROR(F19/C19,0)</f>
        <v>3.18150684931507</v>
      </c>
      <c r="Q19" s="5" t="n">
        <f aca="false">IFERROR(H19/C19,0)</f>
        <v>516.360273972603</v>
      </c>
      <c r="R19" s="4" t="n">
        <f aca="false">IFERROR(I19/F19,0)</f>
        <v>0.254036598493003</v>
      </c>
      <c r="S19" s="4" t="n">
        <f aca="false">IFERROR(K19/J19,0)</f>
        <v>0.228974463931484</v>
      </c>
      <c r="T19" s="6" t="s">
        <v>23</v>
      </c>
    </row>
    <row r="20" customFormat="false" ht="15" hidden="false" customHeight="false" outlineLevel="0" collapsed="false">
      <c r="A20" s="9" t="s">
        <v>53</v>
      </c>
      <c r="B20" s="9" t="s">
        <v>26</v>
      </c>
      <c r="C20" s="9" t="n">
        <v>756</v>
      </c>
      <c r="D20" s="9" t="n">
        <v>313</v>
      </c>
      <c r="E20" s="9" t="n">
        <v>523</v>
      </c>
      <c r="F20" s="9" t="n">
        <v>9303</v>
      </c>
      <c r="G20" s="9" t="n">
        <v>40</v>
      </c>
      <c r="H20" s="9" t="n">
        <v>832445.7</v>
      </c>
      <c r="I20" s="9" t="n">
        <v>5601</v>
      </c>
      <c r="J20" s="9" t="n">
        <v>55837</v>
      </c>
      <c r="K20" s="9" t="n">
        <v>53071</v>
      </c>
      <c r="L20" s="9" t="n">
        <v>365</v>
      </c>
      <c r="M20" s="10" t="n">
        <f aca="false">IFERROR(D20/C20,0)</f>
        <v>0.414021164021164</v>
      </c>
      <c r="N20" s="10" t="n">
        <f aca="false">IFERROR(E20/C20,0)</f>
        <v>0.691798941798942</v>
      </c>
      <c r="O20" s="11" t="n">
        <f aca="false">IFERROR(F20/MAX(C20-D20,1),0)</f>
        <v>21</v>
      </c>
      <c r="P20" s="11" t="n">
        <f aca="false">IFERROR(F20/C20,0)</f>
        <v>12.3055555555556</v>
      </c>
      <c r="Q20" s="11" t="n">
        <f aca="false">IFERROR(H20/C20,0)</f>
        <v>1101.11865079365</v>
      </c>
      <c r="R20" s="10" t="n">
        <f aca="false">IFERROR(I20/F20,0)</f>
        <v>0.602063850370848</v>
      </c>
      <c r="S20" s="10" t="n">
        <f aca="false">IFERROR(K20/J20,0)</f>
        <v>0.950462954671634</v>
      </c>
      <c r="T20" s="12" t="s">
        <v>30</v>
      </c>
    </row>
    <row r="21" customFormat="false" ht="15" hidden="false" customHeight="false" outlineLevel="0" collapsed="false">
      <c r="A21" s="3" t="s">
        <v>54</v>
      </c>
      <c r="B21" s="3" t="s">
        <v>22</v>
      </c>
      <c r="C21" s="3" t="n">
        <v>899</v>
      </c>
      <c r="D21" s="3" t="n">
        <v>128</v>
      </c>
      <c r="E21" s="3" t="n">
        <v>293</v>
      </c>
      <c r="F21" s="3" t="n">
        <v>2606</v>
      </c>
      <c r="G21" s="3" t="n">
        <v>10</v>
      </c>
      <c r="H21" s="3" t="n">
        <v>556302.1</v>
      </c>
      <c r="I21" s="3" t="n">
        <v>519</v>
      </c>
      <c r="J21" s="3" t="n">
        <v>64257</v>
      </c>
      <c r="K21" s="3" t="n">
        <v>12861</v>
      </c>
      <c r="L21" s="3" t="n">
        <v>381</v>
      </c>
      <c r="M21" s="4" t="n">
        <f aca="false">IFERROR(D21/C21,0)</f>
        <v>0.14238042269188</v>
      </c>
      <c r="N21" s="4" t="n">
        <f aca="false">IFERROR(E21/C21,0)</f>
        <v>0.325917686318131</v>
      </c>
      <c r="O21" s="5" t="n">
        <f aca="false">IFERROR(F21/MAX(C21-D21,1),0)</f>
        <v>3.38002594033722</v>
      </c>
      <c r="P21" s="5" t="n">
        <f aca="false">IFERROR(F21/C21,0)</f>
        <v>2.89877641824249</v>
      </c>
      <c r="Q21" s="5" t="n">
        <f aca="false">IFERROR(H21/C21,0)</f>
        <v>618.801001112347</v>
      </c>
      <c r="R21" s="4" t="n">
        <f aca="false">IFERROR(I21/F21,0)</f>
        <v>0.199155794320798</v>
      </c>
      <c r="S21" s="4" t="n">
        <f aca="false">IFERROR(K21/J21,0)</f>
        <v>0.200149400065363</v>
      </c>
      <c r="T21" s="6" t="s">
        <v>23</v>
      </c>
    </row>
    <row r="22" customFormat="false" ht="15" hidden="false" customHeight="false" outlineLevel="0" collapsed="false">
      <c r="A22" s="3" t="s">
        <v>55</v>
      </c>
      <c r="B22" s="3" t="s">
        <v>29</v>
      </c>
      <c r="C22" s="3" t="n">
        <v>3432</v>
      </c>
      <c r="D22" s="3" t="n">
        <v>659</v>
      </c>
      <c r="E22" s="3" t="n">
        <v>1665</v>
      </c>
      <c r="F22" s="3" t="n">
        <v>14440</v>
      </c>
      <c r="G22" s="3" t="n">
        <v>20</v>
      </c>
      <c r="H22" s="3" t="n">
        <v>2648904.9</v>
      </c>
      <c r="I22" s="3" t="n">
        <v>4056</v>
      </c>
      <c r="J22" s="3" t="n">
        <v>278251</v>
      </c>
      <c r="K22" s="3" t="n">
        <v>82513</v>
      </c>
      <c r="L22" s="3" t="n">
        <v>0</v>
      </c>
      <c r="M22" s="4" t="n">
        <f aca="false">IFERROR(D22/C22,0)</f>
        <v>0.192016317016317</v>
      </c>
      <c r="N22" s="4" t="n">
        <f aca="false">IFERROR(E22/C22,0)</f>
        <v>0.48513986013986</v>
      </c>
      <c r="O22" s="5" t="n">
        <f aca="false">IFERROR(F22/MAX(C22-D22,1),0)</f>
        <v>5.20735665344392</v>
      </c>
      <c r="P22" s="5" t="n">
        <f aca="false">IFERROR(F22/C22,0)</f>
        <v>4.20745920745921</v>
      </c>
      <c r="Q22" s="5" t="n">
        <f aca="false">IFERROR(H22/C22,0)</f>
        <v>771.825437062937</v>
      </c>
      <c r="R22" s="4" t="n">
        <f aca="false">IFERROR(I22/F22,0)</f>
        <v>0.280886426592798</v>
      </c>
      <c r="S22" s="4" t="n">
        <f aca="false">IFERROR(K22/J22,0)</f>
        <v>0.29654161171029</v>
      </c>
      <c r="T22" s="6" t="s">
        <v>23</v>
      </c>
    </row>
    <row r="23" customFormat="false" ht="15" hidden="false" customHeight="false" outlineLevel="0" collapsed="false">
      <c r="A23" s="3" t="s">
        <v>56</v>
      </c>
      <c r="B23" s="3" t="s">
        <v>22</v>
      </c>
      <c r="C23" s="3" t="n">
        <v>3637</v>
      </c>
      <c r="D23" s="3" t="n">
        <v>142</v>
      </c>
      <c r="E23" s="3" t="n">
        <v>1037</v>
      </c>
      <c r="F23" s="3" t="n">
        <v>6239</v>
      </c>
      <c r="G23" s="3" t="n">
        <v>5</v>
      </c>
      <c r="H23" s="3" t="n">
        <v>1233930.5</v>
      </c>
      <c r="I23" s="3" t="n">
        <v>941</v>
      </c>
      <c r="J23" s="3" t="n">
        <v>330259</v>
      </c>
      <c r="K23" s="3" t="n">
        <v>48538</v>
      </c>
      <c r="L23" s="3" t="n">
        <v>890</v>
      </c>
      <c r="M23" s="4" t="n">
        <f aca="false">IFERROR(D23/C23,0)</f>
        <v>0.039043167445697</v>
      </c>
      <c r="N23" s="4" t="n">
        <f aca="false">IFERROR(E23/C23,0)</f>
        <v>0.285125103106956</v>
      </c>
      <c r="O23" s="5" t="n">
        <f aca="false">IFERROR(F23/MAX(C23-D23,1),0)</f>
        <v>1.78512160228898</v>
      </c>
      <c r="P23" s="5" t="n">
        <f aca="false">IFERROR(F23/C23,0)</f>
        <v>1.71542480065988</v>
      </c>
      <c r="Q23" s="5" t="n">
        <f aca="false">IFERROR(H23/C23,0)</f>
        <v>339.271514984878</v>
      </c>
      <c r="R23" s="4" t="n">
        <f aca="false">IFERROR(I23/F23,0)</f>
        <v>0.150825452796923</v>
      </c>
      <c r="S23" s="4" t="n">
        <f aca="false">IFERROR(K23/J23,0)</f>
        <v>0.146969499695693</v>
      </c>
      <c r="T23" s="6" t="s">
        <v>23</v>
      </c>
    </row>
    <row r="24" customFormat="false" ht="15" hidden="false" customHeight="false" outlineLevel="0" collapsed="false">
      <c r="A24" s="3" t="s">
        <v>57</v>
      </c>
      <c r="B24" s="3" t="s">
        <v>26</v>
      </c>
      <c r="C24" s="3" t="n">
        <v>372</v>
      </c>
      <c r="D24" s="3" t="n">
        <v>18</v>
      </c>
      <c r="E24" s="3" t="n">
        <v>95</v>
      </c>
      <c r="F24" s="3" t="n">
        <v>407</v>
      </c>
      <c r="G24" s="3" t="n">
        <v>4</v>
      </c>
      <c r="H24" s="3" t="n">
        <v>51994.4</v>
      </c>
      <c r="I24" s="3" t="n">
        <v>88</v>
      </c>
      <c r="J24" s="3" t="n">
        <v>63057</v>
      </c>
      <c r="K24" s="3" t="n">
        <v>11884</v>
      </c>
      <c r="L24" s="3" t="n">
        <v>81</v>
      </c>
      <c r="M24" s="4" t="n">
        <f aca="false">IFERROR(D24/C24,0)</f>
        <v>0.0483870967741936</v>
      </c>
      <c r="N24" s="4" t="n">
        <f aca="false">IFERROR(E24/C24,0)</f>
        <v>0.255376344086022</v>
      </c>
      <c r="O24" s="5" t="n">
        <f aca="false">IFERROR(F24/MAX(C24-D24,1),0)</f>
        <v>1.14971751412429</v>
      </c>
      <c r="P24" s="5" t="n">
        <f aca="false">IFERROR(F24/C24,0)</f>
        <v>1.09408602150538</v>
      </c>
      <c r="Q24" s="5" t="n">
        <f aca="false">IFERROR(H24/C24,0)</f>
        <v>139.769892473118</v>
      </c>
      <c r="R24" s="4" t="n">
        <f aca="false">IFERROR(I24/F24,0)</f>
        <v>0.216216216216216</v>
      </c>
      <c r="S24" s="4" t="n">
        <f aca="false">IFERROR(K24/J24,0)</f>
        <v>0.188464405220673</v>
      </c>
      <c r="T24" s="6" t="s">
        <v>23</v>
      </c>
    </row>
    <row r="25" customFormat="false" ht="15" hidden="false" customHeight="false" outlineLevel="0" collapsed="false">
      <c r="A25" s="3" t="s">
        <v>58</v>
      </c>
      <c r="B25" s="3" t="s">
        <v>22</v>
      </c>
      <c r="C25" s="3" t="n">
        <v>1482</v>
      </c>
      <c r="D25" s="3" t="n">
        <v>97</v>
      </c>
      <c r="E25" s="3" t="n">
        <v>436</v>
      </c>
      <c r="F25" s="3" t="n">
        <v>3892</v>
      </c>
      <c r="G25" s="3" t="n">
        <v>11</v>
      </c>
      <c r="H25" s="3" t="n">
        <v>332158.2</v>
      </c>
      <c r="I25" s="3" t="n">
        <v>720</v>
      </c>
      <c r="J25" s="3" t="n">
        <v>224647</v>
      </c>
      <c r="K25" s="3" t="n">
        <v>36771</v>
      </c>
      <c r="L25" s="3" t="n">
        <v>418</v>
      </c>
      <c r="M25" s="4" t="n">
        <f aca="false">IFERROR(D25/C25,0)</f>
        <v>0.0654520917678812</v>
      </c>
      <c r="N25" s="4" t="n">
        <f aca="false">IFERROR(E25/C25,0)</f>
        <v>0.294197031039136</v>
      </c>
      <c r="O25" s="5" t="n">
        <f aca="false">IFERROR(F25/MAX(C25-D25,1),0)</f>
        <v>2.8101083032491</v>
      </c>
      <c r="P25" s="5" t="n">
        <f aca="false">IFERROR(F25/C25,0)</f>
        <v>2.62618083670715</v>
      </c>
      <c r="Q25" s="5" t="n">
        <f aca="false">IFERROR(H25/C25,0)</f>
        <v>224.128340080972</v>
      </c>
      <c r="R25" s="4" t="n">
        <f aca="false">IFERROR(I25/F25,0)</f>
        <v>0.184994861253854</v>
      </c>
      <c r="S25" s="4" t="n">
        <f aca="false">IFERROR(K25/J25,0)</f>
        <v>0.163683467840657</v>
      </c>
      <c r="T25" s="6" t="s">
        <v>23</v>
      </c>
    </row>
    <row r="26" customFormat="false" ht="15" hidden="false" customHeight="false" outlineLevel="0" collapsed="false">
      <c r="A26" s="3" t="s">
        <v>59</v>
      </c>
      <c r="B26" s="3" t="s">
        <v>22</v>
      </c>
      <c r="C26" s="3" t="n">
        <v>618</v>
      </c>
      <c r="D26" s="3" t="n">
        <v>122</v>
      </c>
      <c r="E26" s="3" t="n">
        <v>338</v>
      </c>
      <c r="F26" s="3" t="n">
        <v>2164</v>
      </c>
      <c r="G26" s="3" t="n">
        <v>17</v>
      </c>
      <c r="H26" s="3" t="n">
        <v>366382.1</v>
      </c>
      <c r="I26" s="3" t="n">
        <v>508</v>
      </c>
      <c r="J26" s="3" t="n">
        <v>71006</v>
      </c>
      <c r="K26" s="3" t="n">
        <v>13798</v>
      </c>
      <c r="L26" s="3" t="n">
        <v>188</v>
      </c>
      <c r="M26" s="4" t="n">
        <f aca="false">IFERROR(D26/C26,0)</f>
        <v>0.197411003236246</v>
      </c>
      <c r="N26" s="4" t="n">
        <f aca="false">IFERROR(E26/C26,0)</f>
        <v>0.546925566343042</v>
      </c>
      <c r="O26" s="5" t="n">
        <f aca="false">IFERROR(F26/MAX(C26-D26,1),0)</f>
        <v>4.36290322580645</v>
      </c>
      <c r="P26" s="5" t="n">
        <f aca="false">IFERROR(F26/C26,0)</f>
        <v>3.50161812297735</v>
      </c>
      <c r="Q26" s="5" t="n">
        <f aca="false">IFERROR(H26/C26,0)</f>
        <v>592.851294498382</v>
      </c>
      <c r="R26" s="4" t="n">
        <f aca="false">IFERROR(I26/F26,0)</f>
        <v>0.234750462107209</v>
      </c>
      <c r="S26" s="4" t="n">
        <f aca="false">IFERROR(K26/J26,0)</f>
        <v>0.194321606624792</v>
      </c>
      <c r="T26" s="6" t="s">
        <v>23</v>
      </c>
    </row>
    <row r="27" customFormat="false" ht="15" hidden="false" customHeight="false" outlineLevel="0" collapsed="false">
      <c r="A27" s="9" t="s">
        <v>60</v>
      </c>
      <c r="B27" s="9" t="s">
        <v>26</v>
      </c>
      <c r="C27" s="9" t="n">
        <v>3089</v>
      </c>
      <c r="D27" s="9" t="n">
        <v>1331</v>
      </c>
      <c r="E27" s="9" t="n">
        <v>2270</v>
      </c>
      <c r="F27" s="9" t="n">
        <v>27423</v>
      </c>
      <c r="G27" s="9" t="n">
        <v>23</v>
      </c>
      <c r="H27" s="9" t="n">
        <v>3377726.4</v>
      </c>
      <c r="I27" s="9" t="n">
        <v>17067</v>
      </c>
      <c r="J27" s="9" t="n">
        <v>442769</v>
      </c>
      <c r="K27" s="9" t="n">
        <v>255573</v>
      </c>
      <c r="L27" s="9" t="n">
        <v>730</v>
      </c>
      <c r="M27" s="10" t="n">
        <f aca="false">IFERROR(D27/C27,0)</f>
        <v>0.430883781158951</v>
      </c>
      <c r="N27" s="10" t="n">
        <f aca="false">IFERROR(E27/C27,0)</f>
        <v>0.734865652314665</v>
      </c>
      <c r="O27" s="11" t="n">
        <f aca="false">IFERROR(F27/MAX(C27-D27,1),0)</f>
        <v>15.598976109215</v>
      </c>
      <c r="P27" s="11" t="n">
        <f aca="false">IFERROR(F27/C27,0)</f>
        <v>8.87763030106831</v>
      </c>
      <c r="Q27" s="11" t="n">
        <f aca="false">IFERROR(H27/C27,0)</f>
        <v>1093.46921333765</v>
      </c>
      <c r="R27" s="10" t="n">
        <f aca="false">IFERROR(I27/F27,0)</f>
        <v>0.622360792035882</v>
      </c>
      <c r="S27" s="10" t="n">
        <f aca="false">IFERROR(K27/J27,0)</f>
        <v>0.577215207026689</v>
      </c>
      <c r="T27" s="12" t="s">
        <v>30</v>
      </c>
    </row>
    <row r="28" customFormat="false" ht="15" hidden="false" customHeight="false" outlineLevel="0" collapsed="false">
      <c r="A28" s="3" t="s">
        <v>61</v>
      </c>
      <c r="B28" s="3" t="s">
        <v>29</v>
      </c>
      <c r="C28" s="3" t="n">
        <v>3592</v>
      </c>
      <c r="D28" s="3" t="n">
        <v>304</v>
      </c>
      <c r="E28" s="3" t="n">
        <v>1273</v>
      </c>
      <c r="F28" s="3" t="n">
        <v>7592</v>
      </c>
      <c r="G28" s="3" t="n">
        <v>8</v>
      </c>
      <c r="H28" s="3" t="n">
        <v>1101883.9</v>
      </c>
      <c r="I28" s="3" t="n">
        <v>1540</v>
      </c>
      <c r="J28" s="3" t="n">
        <v>378412</v>
      </c>
      <c r="K28" s="3" t="n">
        <v>69885</v>
      </c>
      <c r="L28" s="3" t="n">
        <v>0</v>
      </c>
      <c r="M28" s="4" t="n">
        <f aca="false">IFERROR(D28/C28,0)</f>
        <v>0.0846325167037862</v>
      </c>
      <c r="N28" s="4" t="n">
        <f aca="false">IFERROR(E28/C28,0)</f>
        <v>0.354398663697105</v>
      </c>
      <c r="O28" s="5" t="n">
        <f aca="false">IFERROR(F28/MAX(C28-D28,1),0)</f>
        <v>2.30900243309002</v>
      </c>
      <c r="P28" s="5" t="n">
        <f aca="false">IFERROR(F28/C28,0)</f>
        <v>2.11358574610245</v>
      </c>
      <c r="Q28" s="5" t="n">
        <f aca="false">IFERROR(H28/C28,0)</f>
        <v>306.760551224944</v>
      </c>
      <c r="R28" s="4" t="n">
        <f aca="false">IFERROR(I28/F28,0)</f>
        <v>0.202845100105374</v>
      </c>
      <c r="S28" s="4" t="n">
        <f aca="false">IFERROR(K28/J28,0)</f>
        <v>0.184679661321523</v>
      </c>
      <c r="T28" s="6" t="s">
        <v>23</v>
      </c>
    </row>
    <row r="29" customFormat="false" ht="15" hidden="false" customHeight="false" outlineLevel="0" collapsed="false">
      <c r="A29" s="3" t="s">
        <v>62</v>
      </c>
      <c r="B29" s="3" t="s">
        <v>26</v>
      </c>
      <c r="C29" s="3" t="n">
        <v>3160</v>
      </c>
      <c r="D29" s="3" t="n">
        <v>183</v>
      </c>
      <c r="E29" s="3" t="n">
        <v>866</v>
      </c>
      <c r="F29" s="3" t="n">
        <v>2604</v>
      </c>
      <c r="G29" s="3" t="n">
        <v>5</v>
      </c>
      <c r="H29" s="3" t="n">
        <v>1242653.3</v>
      </c>
      <c r="I29" s="3" t="n">
        <v>322</v>
      </c>
      <c r="J29" s="3" t="n">
        <v>269450</v>
      </c>
      <c r="K29" s="3" t="n">
        <v>45808</v>
      </c>
      <c r="L29" s="3" t="n">
        <v>989</v>
      </c>
      <c r="M29" s="4" t="n">
        <f aca="false">IFERROR(D29/C29,0)</f>
        <v>0.0579113924050633</v>
      </c>
      <c r="N29" s="4" t="n">
        <f aca="false">IFERROR(E29/C29,0)</f>
        <v>0.274050632911392</v>
      </c>
      <c r="O29" s="5" t="n">
        <f aca="false">IFERROR(F29/MAX(C29-D29,1),0)</f>
        <v>0.874706079946255</v>
      </c>
      <c r="P29" s="5" t="n">
        <f aca="false">IFERROR(F29/C29,0)</f>
        <v>0.824050632911392</v>
      </c>
      <c r="Q29" s="5" t="n">
        <f aca="false">IFERROR(H29/C29,0)</f>
        <v>393.244715189873</v>
      </c>
      <c r="R29" s="4" t="n">
        <f aca="false">IFERROR(I29/F29,0)</f>
        <v>0.123655913978495</v>
      </c>
      <c r="S29" s="4" t="n">
        <f aca="false">IFERROR(K29/J29,0)</f>
        <v>0.170005566895528</v>
      </c>
      <c r="T29" s="6" t="s">
        <v>23</v>
      </c>
    </row>
    <row r="30" customFormat="false" ht="15" hidden="false" customHeight="false" outlineLevel="0" collapsed="false">
      <c r="A30" s="3" t="s">
        <v>63</v>
      </c>
      <c r="B30" s="3" t="s">
        <v>22</v>
      </c>
      <c r="C30" s="3" t="n">
        <v>478</v>
      </c>
      <c r="D30" s="3" t="n">
        <v>76</v>
      </c>
      <c r="E30" s="3" t="n">
        <v>217</v>
      </c>
      <c r="F30" s="3" t="n">
        <v>1797</v>
      </c>
      <c r="G30" s="3" t="n">
        <v>17</v>
      </c>
      <c r="H30" s="3" t="n">
        <v>244716.9</v>
      </c>
      <c r="I30" s="3" t="n">
        <v>300</v>
      </c>
      <c r="J30" s="3" t="n">
        <v>69607</v>
      </c>
      <c r="K30" s="3" t="n">
        <v>16146</v>
      </c>
      <c r="L30" s="3" t="n">
        <v>127</v>
      </c>
      <c r="M30" s="4" t="n">
        <f aca="false">IFERROR(D30/C30,0)</f>
        <v>0.158995815899582</v>
      </c>
      <c r="N30" s="4" t="n">
        <f aca="false">IFERROR(E30/C30,0)</f>
        <v>0.45397489539749</v>
      </c>
      <c r="O30" s="5" t="n">
        <f aca="false">IFERROR(F30/MAX(C30-D30,1),0)</f>
        <v>4.47014925373134</v>
      </c>
      <c r="P30" s="5" t="n">
        <f aca="false">IFERROR(F30/C30,0)</f>
        <v>3.75941422594142</v>
      </c>
      <c r="Q30" s="5" t="n">
        <f aca="false">IFERROR(H30/C30,0)</f>
        <v>511.960041841004</v>
      </c>
      <c r="R30" s="4" t="n">
        <f aca="false">IFERROR(I30/F30,0)</f>
        <v>0.166944908180301</v>
      </c>
      <c r="S30" s="4" t="n">
        <f aca="false">IFERROR(K30/J30,0)</f>
        <v>0.231959429367736</v>
      </c>
      <c r="T30" s="6" t="s">
        <v>23</v>
      </c>
    </row>
    <row r="31" customFormat="false" ht="15" hidden="false" customHeight="false" outlineLevel="0" collapsed="false">
      <c r="A31" s="3" t="s">
        <v>64</v>
      </c>
      <c r="B31" s="3" t="s">
        <v>22</v>
      </c>
      <c r="C31" s="3" t="n">
        <v>253</v>
      </c>
      <c r="D31" s="3" t="n">
        <v>28</v>
      </c>
      <c r="E31" s="3" t="n">
        <v>98</v>
      </c>
      <c r="F31" s="3" t="n">
        <v>533</v>
      </c>
      <c r="G31" s="3" t="n">
        <v>8</v>
      </c>
      <c r="H31" s="3" t="n">
        <v>127716.5</v>
      </c>
      <c r="I31" s="3" t="n">
        <v>117</v>
      </c>
      <c r="J31" s="3" t="n">
        <v>33594</v>
      </c>
      <c r="K31" s="3" t="n">
        <v>5011</v>
      </c>
      <c r="L31" s="3" t="n">
        <v>56</v>
      </c>
      <c r="M31" s="4" t="n">
        <f aca="false">IFERROR(D31/C31,0)</f>
        <v>0.110671936758893</v>
      </c>
      <c r="N31" s="4" t="n">
        <f aca="false">IFERROR(E31/C31,0)</f>
        <v>0.387351778656126</v>
      </c>
      <c r="O31" s="5" t="n">
        <f aca="false">IFERROR(F31/MAX(C31-D31,1),0)</f>
        <v>2.36888888888889</v>
      </c>
      <c r="P31" s="5" t="n">
        <f aca="false">IFERROR(F31/C31,0)</f>
        <v>2.10671936758893</v>
      </c>
      <c r="Q31" s="5" t="n">
        <f aca="false">IFERROR(H31/C31,0)</f>
        <v>504.808300395257</v>
      </c>
      <c r="R31" s="4" t="n">
        <f aca="false">IFERROR(I31/F31,0)</f>
        <v>0.219512195121951</v>
      </c>
      <c r="S31" s="4" t="n">
        <f aca="false">IFERROR(K31/J31,0)</f>
        <v>0.149163541108531</v>
      </c>
      <c r="T31" s="6" t="s">
        <v>23</v>
      </c>
    </row>
    <row r="32" customFormat="false" ht="15" hidden="false" customHeight="false" outlineLevel="0" collapsed="false">
      <c r="A32" s="3" t="s">
        <v>65</v>
      </c>
      <c r="B32" s="3" t="s">
        <v>22</v>
      </c>
      <c r="C32" s="3" t="n">
        <v>2480</v>
      </c>
      <c r="D32" s="3" t="n">
        <v>185</v>
      </c>
      <c r="E32" s="3" t="n">
        <v>884</v>
      </c>
      <c r="F32" s="3" t="n">
        <v>3341</v>
      </c>
      <c r="G32" s="3" t="n">
        <v>6</v>
      </c>
      <c r="H32" s="3" t="n">
        <v>1131392.7</v>
      </c>
      <c r="I32" s="3" t="n">
        <v>635</v>
      </c>
      <c r="J32" s="3" t="n">
        <v>177267</v>
      </c>
      <c r="K32" s="3" t="n">
        <v>33512</v>
      </c>
      <c r="L32" s="3" t="n">
        <v>769</v>
      </c>
      <c r="M32" s="4" t="n">
        <f aca="false">IFERROR(D32/C32,0)</f>
        <v>0.0745967741935484</v>
      </c>
      <c r="N32" s="4" t="n">
        <f aca="false">IFERROR(E32/C32,0)</f>
        <v>0.356451612903226</v>
      </c>
      <c r="O32" s="5" t="n">
        <f aca="false">IFERROR(F32/MAX(C32-D32,1),0)</f>
        <v>1.4557734204793</v>
      </c>
      <c r="P32" s="5" t="n">
        <f aca="false">IFERROR(F32/C32,0)</f>
        <v>1.34717741935484</v>
      </c>
      <c r="Q32" s="5" t="n">
        <f aca="false">IFERROR(H32/C32,0)</f>
        <v>456.206733870968</v>
      </c>
      <c r="R32" s="4" t="n">
        <f aca="false">IFERROR(I32/F32,0)</f>
        <v>0.190062855432505</v>
      </c>
      <c r="S32" s="4" t="n">
        <f aca="false">IFERROR(K32/J32,0)</f>
        <v>0.189048158991803</v>
      </c>
      <c r="T32" s="6" t="s">
        <v>23</v>
      </c>
    </row>
    <row r="33" customFormat="false" ht="15" hidden="false" customHeight="false" outlineLevel="0" collapsed="false">
      <c r="A33" s="3" t="s">
        <v>66</v>
      </c>
      <c r="B33" s="3" t="s">
        <v>29</v>
      </c>
      <c r="C33" s="3" t="n">
        <v>2000</v>
      </c>
      <c r="D33" s="3" t="n">
        <v>268</v>
      </c>
      <c r="E33" s="3" t="n">
        <v>946</v>
      </c>
      <c r="F33" s="3" t="n">
        <v>5731</v>
      </c>
      <c r="G33" s="3" t="n">
        <v>15</v>
      </c>
      <c r="H33" s="3" t="n">
        <v>875934</v>
      </c>
      <c r="I33" s="3" t="n">
        <v>686</v>
      </c>
      <c r="J33" s="3" t="n">
        <v>266824</v>
      </c>
      <c r="K33" s="3" t="n">
        <v>56436</v>
      </c>
      <c r="L33" s="3" t="n">
        <v>0</v>
      </c>
      <c r="M33" s="4" t="n">
        <f aca="false">IFERROR(D33/C33,0)</f>
        <v>0.134</v>
      </c>
      <c r="N33" s="4" t="n">
        <f aca="false">IFERROR(E33/C33,0)</f>
        <v>0.473</v>
      </c>
      <c r="O33" s="5" t="n">
        <f aca="false">IFERROR(F33/MAX(C33-D33,1),0)</f>
        <v>3.30889145496536</v>
      </c>
      <c r="P33" s="5" t="n">
        <f aca="false">IFERROR(F33/C33,0)</f>
        <v>2.8655</v>
      </c>
      <c r="Q33" s="5" t="n">
        <f aca="false">IFERROR(H33/C33,0)</f>
        <v>437.967</v>
      </c>
      <c r="R33" s="4" t="n">
        <f aca="false">IFERROR(I33/F33,0)</f>
        <v>0.119699877857267</v>
      </c>
      <c r="S33" s="4" t="n">
        <f aca="false">IFERROR(K33/J33,0)</f>
        <v>0.211510208976704</v>
      </c>
      <c r="T33" s="6" t="s">
        <v>23</v>
      </c>
    </row>
    <row r="34" customFormat="false" ht="15" hidden="false" customHeight="false" outlineLevel="0" collapsed="false">
      <c r="A34" s="3" t="s">
        <v>67</v>
      </c>
      <c r="B34" s="3" t="s">
        <v>22</v>
      </c>
      <c r="C34" s="3" t="n">
        <v>2164</v>
      </c>
      <c r="D34" s="3" t="n">
        <v>134</v>
      </c>
      <c r="E34" s="3" t="n">
        <v>566</v>
      </c>
      <c r="F34" s="3" t="n">
        <v>1429</v>
      </c>
      <c r="G34" s="3" t="n">
        <v>1</v>
      </c>
      <c r="H34" s="3" t="n">
        <v>800262.6</v>
      </c>
      <c r="I34" s="3" t="n">
        <v>312</v>
      </c>
      <c r="J34" s="3" t="n">
        <v>359627</v>
      </c>
      <c r="K34" s="3" t="n">
        <v>50201</v>
      </c>
      <c r="L34" s="3" t="n">
        <v>304</v>
      </c>
      <c r="M34" s="4" t="n">
        <f aca="false">IFERROR(D34/C34,0)</f>
        <v>0.0619223659889094</v>
      </c>
      <c r="N34" s="4" t="n">
        <f aca="false">IFERROR(E34/C34,0)</f>
        <v>0.261552680221811</v>
      </c>
      <c r="O34" s="5" t="n">
        <f aca="false">IFERROR(F34/MAX(C34-D34,1),0)</f>
        <v>0.703940886699507</v>
      </c>
      <c r="P34" s="5" t="n">
        <f aca="false">IFERROR(F34/C34,0)</f>
        <v>0.660351201478743</v>
      </c>
      <c r="Q34" s="5" t="n">
        <f aca="false">IFERROR(H34/C34,0)</f>
        <v>369.807116451017</v>
      </c>
      <c r="R34" s="4" t="n">
        <f aca="false">IFERROR(I34/F34,0)</f>
        <v>0.218334499650105</v>
      </c>
      <c r="S34" s="4" t="n">
        <f aca="false">IFERROR(K34/J34,0)</f>
        <v>0.139591854894099</v>
      </c>
      <c r="T34" s="6" t="s">
        <v>23</v>
      </c>
    </row>
    <row r="35" customFormat="false" ht="15" hidden="false" customHeight="false" outlineLevel="0" collapsed="false">
      <c r="A35" s="9" t="s">
        <v>68</v>
      </c>
      <c r="B35" s="9" t="s">
        <v>29</v>
      </c>
      <c r="C35" s="9" t="n">
        <v>1510</v>
      </c>
      <c r="D35" s="9" t="n">
        <v>115</v>
      </c>
      <c r="E35" s="9" t="n">
        <v>629</v>
      </c>
      <c r="F35" s="9" t="n">
        <v>7297</v>
      </c>
      <c r="G35" s="9" t="n">
        <v>9</v>
      </c>
      <c r="H35" s="9" t="n">
        <v>1371978.1</v>
      </c>
      <c r="I35" s="9" t="n">
        <v>5589</v>
      </c>
      <c r="J35" s="9" t="n">
        <v>260919</v>
      </c>
      <c r="K35" s="9" t="n">
        <v>198337</v>
      </c>
      <c r="L35" s="9" t="n">
        <v>0</v>
      </c>
      <c r="M35" s="10" t="n">
        <f aca="false">IFERROR(D35/C35,0)</f>
        <v>0.076158940397351</v>
      </c>
      <c r="N35" s="10" t="n">
        <f aca="false">IFERROR(E35/C35,0)</f>
        <v>0.416556291390729</v>
      </c>
      <c r="O35" s="11" t="n">
        <f aca="false">IFERROR(F35/MAX(C35-D35,1),0)</f>
        <v>5.23082437275986</v>
      </c>
      <c r="P35" s="11" t="n">
        <f aca="false">IFERROR(F35/C35,0)</f>
        <v>4.83245033112583</v>
      </c>
      <c r="Q35" s="11" t="n">
        <f aca="false">IFERROR(H35/C35,0)</f>
        <v>908.594768211921</v>
      </c>
      <c r="R35" s="10" t="n">
        <f aca="false">IFERROR(I35/F35,0)</f>
        <v>0.765931204604632</v>
      </c>
      <c r="S35" s="10" t="n">
        <f aca="false">IFERROR(K35/J35,0)</f>
        <v>0.760147785328014</v>
      </c>
      <c r="T35" s="12" t="s">
        <v>30</v>
      </c>
    </row>
    <row r="36" customFormat="false" ht="15" hidden="false" customHeight="false" outlineLevel="0" collapsed="false">
      <c r="A36" s="9" t="s">
        <v>69</v>
      </c>
      <c r="B36" s="9" t="s">
        <v>29</v>
      </c>
      <c r="C36" s="9" t="n">
        <v>2247</v>
      </c>
      <c r="D36" s="9" t="n">
        <v>515</v>
      </c>
      <c r="E36" s="9" t="n">
        <v>1223</v>
      </c>
      <c r="F36" s="9" t="n">
        <v>17644</v>
      </c>
      <c r="G36" s="9" t="n">
        <v>22</v>
      </c>
      <c r="H36" s="9" t="n">
        <v>1368587</v>
      </c>
      <c r="I36" s="9" t="n">
        <v>10061</v>
      </c>
      <c r="J36" s="9" t="n">
        <v>300082</v>
      </c>
      <c r="K36" s="9" t="n">
        <v>202540</v>
      </c>
      <c r="L36" s="9" t="n">
        <v>0</v>
      </c>
      <c r="M36" s="10" t="n">
        <f aca="false">IFERROR(D36/C36,0)</f>
        <v>0.22919448153093</v>
      </c>
      <c r="N36" s="10" t="n">
        <f aca="false">IFERROR(E36/C36,0)</f>
        <v>0.544281263907432</v>
      </c>
      <c r="O36" s="11" t="n">
        <f aca="false">IFERROR(F36/MAX(C36-D36,1),0)</f>
        <v>10.1870669745958</v>
      </c>
      <c r="P36" s="11" t="n">
        <f aca="false">IFERROR(F36/C36,0)</f>
        <v>7.85224744103249</v>
      </c>
      <c r="Q36" s="11" t="n">
        <f aca="false">IFERROR(H36/C36,0)</f>
        <v>609.072986203827</v>
      </c>
      <c r="R36" s="10" t="n">
        <f aca="false">IFERROR(I36/F36,0)</f>
        <v>0.57022217184312</v>
      </c>
      <c r="S36" s="10" t="n">
        <f aca="false">IFERROR(K36/J36,0)</f>
        <v>0.674948847315067</v>
      </c>
      <c r="T36" s="12" t="s">
        <v>30</v>
      </c>
    </row>
    <row r="37" customFormat="false" ht="15" hidden="false" customHeight="false" outlineLevel="0" collapsed="false">
      <c r="A37" s="9" t="s">
        <v>70</v>
      </c>
      <c r="B37" s="9" t="s">
        <v>29</v>
      </c>
      <c r="C37" s="9" t="n">
        <v>3657</v>
      </c>
      <c r="D37" s="9" t="n">
        <v>1297</v>
      </c>
      <c r="E37" s="9" t="n">
        <v>1991</v>
      </c>
      <c r="F37" s="9" t="n">
        <v>23284</v>
      </c>
      <c r="G37" s="9" t="n">
        <v>21</v>
      </c>
      <c r="H37" s="9" t="n">
        <v>3062834.4</v>
      </c>
      <c r="I37" s="9" t="n">
        <v>15941</v>
      </c>
      <c r="J37" s="9" t="n">
        <v>653461</v>
      </c>
      <c r="K37" s="9" t="n">
        <v>523589</v>
      </c>
      <c r="L37" s="9" t="n">
        <v>0</v>
      </c>
      <c r="M37" s="10" t="n">
        <f aca="false">IFERROR(D37/C37,0)</f>
        <v>0.354662291495762</v>
      </c>
      <c r="N37" s="10" t="n">
        <f aca="false">IFERROR(E37/C37,0)</f>
        <v>0.544435329505059</v>
      </c>
      <c r="O37" s="11" t="n">
        <f aca="false">IFERROR(F37/MAX(C37-D37,1),0)</f>
        <v>9.86610169491526</v>
      </c>
      <c r="P37" s="11" t="n">
        <f aca="false">IFERROR(F37/C37,0)</f>
        <v>6.36696745966639</v>
      </c>
      <c r="Q37" s="11" t="n">
        <f aca="false">IFERROR(H37/C37,0)</f>
        <v>837.526497128794</v>
      </c>
      <c r="R37" s="10" t="n">
        <f aca="false">IFERROR(I37/F37,0)</f>
        <v>0.684633224531867</v>
      </c>
      <c r="S37" s="10" t="n">
        <f aca="false">IFERROR(K37/J37,0)</f>
        <v>0.80125516289419</v>
      </c>
      <c r="T37" s="12" t="s">
        <v>30</v>
      </c>
    </row>
    <row r="38" customFormat="false" ht="15" hidden="false" customHeight="false" outlineLevel="0" collapsed="false">
      <c r="A38" s="3" t="s">
        <v>71</v>
      </c>
      <c r="B38" s="3" t="s">
        <v>29</v>
      </c>
      <c r="C38" s="3" t="n">
        <v>1914</v>
      </c>
      <c r="D38" s="3" t="n">
        <v>193</v>
      </c>
      <c r="E38" s="3" t="n">
        <v>587</v>
      </c>
      <c r="F38" s="3" t="n">
        <v>2128</v>
      </c>
      <c r="G38" s="3" t="n">
        <v>4</v>
      </c>
      <c r="H38" s="3" t="n">
        <v>285551.6</v>
      </c>
      <c r="I38" s="3" t="n">
        <v>328</v>
      </c>
      <c r="J38" s="3" t="n">
        <v>307079</v>
      </c>
      <c r="K38" s="3" t="n">
        <v>51163</v>
      </c>
      <c r="L38" s="3" t="n">
        <v>0</v>
      </c>
      <c r="M38" s="4" t="n">
        <f aca="false">IFERROR(D38/C38,0)</f>
        <v>0.100835945663532</v>
      </c>
      <c r="N38" s="4" t="n">
        <f aca="false">IFERROR(E38/C38,0)</f>
        <v>0.306687565308255</v>
      </c>
      <c r="O38" s="5" t="n">
        <f aca="false">IFERROR(F38/MAX(C38-D38,1),0)</f>
        <v>1.23649041255084</v>
      </c>
      <c r="P38" s="5" t="n">
        <f aca="false">IFERROR(F38/C38,0)</f>
        <v>1.11180773249739</v>
      </c>
      <c r="Q38" s="5" t="n">
        <f aca="false">IFERROR(H38/C38,0)</f>
        <v>149.191013584117</v>
      </c>
      <c r="R38" s="4" t="n">
        <f aca="false">IFERROR(I38/F38,0)</f>
        <v>0.154135338345865</v>
      </c>
      <c r="S38" s="4" t="n">
        <f aca="false">IFERROR(K38/J38,0)</f>
        <v>0.166611849068155</v>
      </c>
      <c r="T38" s="6" t="s">
        <v>23</v>
      </c>
    </row>
    <row r="39" customFormat="false" ht="15" hidden="false" customHeight="false" outlineLevel="0" collapsed="false">
      <c r="A39" s="9" t="s">
        <v>72</v>
      </c>
      <c r="B39" s="9" t="s">
        <v>22</v>
      </c>
      <c r="C39" s="9" t="n">
        <v>2905</v>
      </c>
      <c r="D39" s="9" t="n">
        <v>1161</v>
      </c>
      <c r="E39" s="9" t="n">
        <v>1631</v>
      </c>
      <c r="F39" s="9" t="n">
        <v>19718</v>
      </c>
      <c r="G39" s="9" t="n">
        <v>16</v>
      </c>
      <c r="H39" s="9" t="n">
        <v>2355111.2</v>
      </c>
      <c r="I39" s="9" t="n">
        <v>12582</v>
      </c>
      <c r="J39" s="9" t="n">
        <v>337847</v>
      </c>
      <c r="K39" s="9" t="n">
        <v>175206</v>
      </c>
      <c r="L39" s="9" t="n">
        <v>1135</v>
      </c>
      <c r="M39" s="10" t="n">
        <f aca="false">IFERROR(D39/C39,0)</f>
        <v>0.399655765920826</v>
      </c>
      <c r="N39" s="10" t="n">
        <f aca="false">IFERROR(E39/C39,0)</f>
        <v>0.56144578313253</v>
      </c>
      <c r="O39" s="11" t="n">
        <f aca="false">IFERROR(F39/MAX(C39-D39,1),0)</f>
        <v>11.3061926605505</v>
      </c>
      <c r="P39" s="11" t="n">
        <f aca="false">IFERROR(F39/C39,0)</f>
        <v>6.78760757314974</v>
      </c>
      <c r="Q39" s="11" t="n">
        <f aca="false">IFERROR(H39/C39,0)</f>
        <v>810.709535283993</v>
      </c>
      <c r="R39" s="10" t="n">
        <f aca="false">IFERROR(I39/F39,0)</f>
        <v>0.638097170098387</v>
      </c>
      <c r="S39" s="10" t="n">
        <f aca="false">IFERROR(K39/J39,0)</f>
        <v>0.518595695684733</v>
      </c>
      <c r="T39" s="12" t="s">
        <v>30</v>
      </c>
    </row>
    <row r="40" customFormat="false" ht="15" hidden="false" customHeight="false" outlineLevel="0" collapsed="false">
      <c r="A40" s="3" t="s">
        <v>73</v>
      </c>
      <c r="B40" s="3" t="s">
        <v>26</v>
      </c>
      <c r="C40" s="3" t="n">
        <v>3527</v>
      </c>
      <c r="D40" s="3" t="n">
        <v>518</v>
      </c>
      <c r="E40" s="3" t="n">
        <v>1322</v>
      </c>
      <c r="F40" s="3" t="n">
        <v>12918</v>
      </c>
      <c r="G40" s="3" t="n">
        <v>14</v>
      </c>
      <c r="H40" s="3" t="n">
        <v>2585217.9</v>
      </c>
      <c r="I40" s="3" t="n">
        <v>2539</v>
      </c>
      <c r="J40" s="3" t="n">
        <v>481640</v>
      </c>
      <c r="K40" s="3" t="n">
        <v>134845</v>
      </c>
      <c r="L40" s="3" t="n">
        <v>1099</v>
      </c>
      <c r="M40" s="4" t="n">
        <f aca="false">IFERROR(D40/C40,0)</f>
        <v>0.146867025800964</v>
      </c>
      <c r="N40" s="4" t="n">
        <f aca="false">IFERROR(E40/C40,0)</f>
        <v>0.374822795576978</v>
      </c>
      <c r="O40" s="5" t="n">
        <f aca="false">IFERROR(F40/MAX(C40-D40,1),0)</f>
        <v>4.29312063808574</v>
      </c>
      <c r="P40" s="5" t="n">
        <f aca="false">IFERROR(F40/C40,0)</f>
        <v>3.66260277856535</v>
      </c>
      <c r="Q40" s="5" t="n">
        <f aca="false">IFERROR(H40/C40,0)</f>
        <v>732.979274170683</v>
      </c>
      <c r="R40" s="4" t="n">
        <f aca="false">IFERROR(I40/F40,0)</f>
        <v>0.196547453166125</v>
      </c>
      <c r="S40" s="4" t="n">
        <f aca="false">IFERROR(K40/J40,0)</f>
        <v>0.279970517398887</v>
      </c>
      <c r="T40" s="6" t="s">
        <v>23</v>
      </c>
    </row>
    <row r="41" customFormat="false" ht="15" hidden="false" customHeight="false" outlineLevel="0" collapsed="false">
      <c r="A41" s="3" t="s">
        <v>74</v>
      </c>
      <c r="B41" s="3" t="s">
        <v>29</v>
      </c>
      <c r="C41" s="3" t="n">
        <v>3543</v>
      </c>
      <c r="D41" s="3" t="n">
        <v>403</v>
      </c>
      <c r="E41" s="3" t="n">
        <v>1006</v>
      </c>
      <c r="F41" s="3" t="n">
        <v>9695</v>
      </c>
      <c r="G41" s="3" t="n">
        <v>11</v>
      </c>
      <c r="H41" s="3" t="n">
        <v>1651827.4</v>
      </c>
      <c r="I41" s="3" t="n">
        <v>2470</v>
      </c>
      <c r="J41" s="3" t="n">
        <v>592457</v>
      </c>
      <c r="K41" s="3" t="n">
        <v>124147</v>
      </c>
      <c r="L41" s="3" t="n">
        <v>0</v>
      </c>
      <c r="M41" s="4" t="n">
        <f aca="false">IFERROR(D41/C41,0)</f>
        <v>0.113745413491391</v>
      </c>
      <c r="N41" s="4" t="n">
        <f aca="false">IFERROR(E41/C41,0)</f>
        <v>0.283940163703077</v>
      </c>
      <c r="O41" s="5" t="n">
        <f aca="false">IFERROR(F41/MAX(C41-D41,1),0)</f>
        <v>3.0875796178344</v>
      </c>
      <c r="P41" s="5" t="n">
        <f aca="false">IFERROR(F41/C41,0)</f>
        <v>2.73638159751623</v>
      </c>
      <c r="Q41" s="5" t="n">
        <f aca="false">IFERROR(H41/C41,0)</f>
        <v>466.222805532035</v>
      </c>
      <c r="R41" s="4" t="n">
        <f aca="false">IFERROR(I41/F41,0)</f>
        <v>0.254770500257865</v>
      </c>
      <c r="S41" s="4" t="n">
        <f aca="false">IFERROR(K41/J41,0)</f>
        <v>0.209546009246241</v>
      </c>
      <c r="T41" s="6" t="s">
        <v>23</v>
      </c>
    </row>
    <row r="42" customFormat="false" ht="15" hidden="false" customHeight="false" outlineLevel="0" collapsed="false">
      <c r="A42" s="3" t="s">
        <v>75</v>
      </c>
      <c r="B42" s="3" t="s">
        <v>22</v>
      </c>
      <c r="C42" s="3" t="n">
        <v>1746</v>
      </c>
      <c r="D42" s="3" t="n">
        <v>154</v>
      </c>
      <c r="E42" s="3" t="n">
        <v>488</v>
      </c>
      <c r="F42" s="3" t="n">
        <v>4542</v>
      </c>
      <c r="G42" s="3" t="n">
        <v>9</v>
      </c>
      <c r="H42" s="3" t="n">
        <v>970673.4</v>
      </c>
      <c r="I42" s="3" t="n">
        <v>430</v>
      </c>
      <c r="J42" s="3" t="n">
        <v>222608</v>
      </c>
      <c r="K42" s="3" t="n">
        <v>50679</v>
      </c>
      <c r="L42" s="3" t="n">
        <v>462</v>
      </c>
      <c r="M42" s="4" t="n">
        <f aca="false">IFERROR(D42/C42,0)</f>
        <v>0.0882016036655212</v>
      </c>
      <c r="N42" s="4" t="n">
        <f aca="false">IFERROR(E42/C42,0)</f>
        <v>0.279495990836197</v>
      </c>
      <c r="O42" s="5" t="n">
        <f aca="false">IFERROR(F42/MAX(C42-D42,1),0)</f>
        <v>2.85301507537688</v>
      </c>
      <c r="P42" s="5" t="n">
        <f aca="false">IFERROR(F42/C42,0)</f>
        <v>2.60137457044674</v>
      </c>
      <c r="Q42" s="5" t="n">
        <f aca="false">IFERROR(H42/C42,0)</f>
        <v>555.941237113402</v>
      </c>
      <c r="R42" s="4" t="n">
        <f aca="false">IFERROR(I42/F42,0)</f>
        <v>0.0946719506825187</v>
      </c>
      <c r="S42" s="4" t="n">
        <f aca="false">IFERROR(K42/J42,0)</f>
        <v>0.22766028175088</v>
      </c>
      <c r="T42" s="6" t="s">
        <v>23</v>
      </c>
    </row>
    <row r="43" customFormat="false" ht="15" hidden="false" customHeight="false" outlineLevel="0" collapsed="false">
      <c r="A43" s="3" t="s">
        <v>76</v>
      </c>
      <c r="B43" s="3" t="s">
        <v>22</v>
      </c>
      <c r="C43" s="3" t="n">
        <v>376</v>
      </c>
      <c r="D43" s="3" t="n">
        <v>40</v>
      </c>
      <c r="E43" s="3" t="n">
        <v>120</v>
      </c>
      <c r="F43" s="3" t="n">
        <v>1406</v>
      </c>
      <c r="G43" s="3" t="n">
        <v>16</v>
      </c>
      <c r="H43" s="3" t="n">
        <v>141444.2</v>
      </c>
      <c r="I43" s="3" t="n">
        <v>277</v>
      </c>
      <c r="J43" s="3" t="n">
        <v>26891</v>
      </c>
      <c r="K43" s="3" t="n">
        <v>3343</v>
      </c>
      <c r="L43" s="3" t="n">
        <v>165</v>
      </c>
      <c r="M43" s="4" t="n">
        <f aca="false">IFERROR(D43/C43,0)</f>
        <v>0.106382978723404</v>
      </c>
      <c r="N43" s="4" t="n">
        <f aca="false">IFERROR(E43/C43,0)</f>
        <v>0.319148936170213</v>
      </c>
      <c r="O43" s="5" t="n">
        <f aca="false">IFERROR(F43/MAX(C43-D43,1),0)</f>
        <v>4.18452380952381</v>
      </c>
      <c r="P43" s="5" t="n">
        <f aca="false">IFERROR(F43/C43,0)</f>
        <v>3.73936170212766</v>
      </c>
      <c r="Q43" s="5" t="n">
        <f aca="false">IFERROR(H43/C43,0)</f>
        <v>376.181382978723</v>
      </c>
      <c r="R43" s="4" t="n">
        <f aca="false">IFERROR(I43/F43,0)</f>
        <v>0.19701280227596</v>
      </c>
      <c r="S43" s="4" t="n">
        <f aca="false">IFERROR(K43/J43,0)</f>
        <v>0.124316685880034</v>
      </c>
      <c r="T43" s="6" t="s">
        <v>23</v>
      </c>
    </row>
    <row r="44" customFormat="false" ht="15" hidden="false" customHeight="false" outlineLevel="0" collapsed="false">
      <c r="A44" s="3" t="s">
        <v>77</v>
      </c>
      <c r="B44" s="3" t="s">
        <v>22</v>
      </c>
      <c r="C44" s="3" t="n">
        <v>1004</v>
      </c>
      <c r="D44" s="3" t="n">
        <v>108</v>
      </c>
      <c r="E44" s="3" t="n">
        <v>341</v>
      </c>
      <c r="F44" s="3" t="n">
        <v>2941</v>
      </c>
      <c r="G44" s="3" t="n">
        <v>10</v>
      </c>
      <c r="H44" s="3" t="n">
        <v>433471.9</v>
      </c>
      <c r="I44" s="3" t="n">
        <v>477</v>
      </c>
      <c r="J44" s="3" t="n">
        <v>161850</v>
      </c>
      <c r="K44" s="3" t="n">
        <v>20222</v>
      </c>
      <c r="L44" s="3" t="n">
        <v>335</v>
      </c>
      <c r="M44" s="4" t="n">
        <f aca="false">IFERROR(D44/C44,0)</f>
        <v>0.107569721115538</v>
      </c>
      <c r="N44" s="4" t="n">
        <f aca="false">IFERROR(E44/C44,0)</f>
        <v>0.339641434262948</v>
      </c>
      <c r="O44" s="5" t="n">
        <f aca="false">IFERROR(F44/MAX(C44-D44,1),0)</f>
        <v>3.28236607142857</v>
      </c>
      <c r="P44" s="5" t="n">
        <f aca="false">IFERROR(F44/C44,0)</f>
        <v>2.9292828685259</v>
      </c>
      <c r="Q44" s="5" t="n">
        <f aca="false">IFERROR(H44/C44,0)</f>
        <v>431.744920318725</v>
      </c>
      <c r="R44" s="4" t="n">
        <f aca="false">IFERROR(I44/F44,0)</f>
        <v>0.162189731383883</v>
      </c>
      <c r="S44" s="4" t="n">
        <f aca="false">IFERROR(K44/J44,0)</f>
        <v>0.124942848316342</v>
      </c>
      <c r="T44" s="6" t="s">
        <v>23</v>
      </c>
    </row>
    <row r="45" customFormat="false" ht="15" hidden="false" customHeight="false" outlineLevel="0" collapsed="false">
      <c r="A45" s="3" t="s">
        <v>78</v>
      </c>
      <c r="B45" s="3" t="s">
        <v>22</v>
      </c>
      <c r="C45" s="3" t="n">
        <v>2357</v>
      </c>
      <c r="D45" s="3" t="n">
        <v>238</v>
      </c>
      <c r="E45" s="3" t="n">
        <v>959</v>
      </c>
      <c r="F45" s="3" t="n">
        <v>5043</v>
      </c>
      <c r="G45" s="3" t="n">
        <v>12</v>
      </c>
      <c r="H45" s="3" t="n">
        <v>1088686.4</v>
      </c>
      <c r="I45" s="3" t="n">
        <v>809</v>
      </c>
      <c r="J45" s="3" t="n">
        <v>252785</v>
      </c>
      <c r="K45" s="3" t="n">
        <v>45502</v>
      </c>
      <c r="L45" s="3" t="n">
        <v>843</v>
      </c>
      <c r="M45" s="4" t="n">
        <f aca="false">IFERROR(D45/C45,0)</f>
        <v>0.100975816716165</v>
      </c>
      <c r="N45" s="4" t="n">
        <f aca="false">IFERROR(E45/C45,0)</f>
        <v>0.406873143826899</v>
      </c>
      <c r="O45" s="5" t="n">
        <f aca="false">IFERROR(F45/MAX(C45-D45,1),0)</f>
        <v>2.37989617744219</v>
      </c>
      <c r="P45" s="5" t="n">
        <f aca="false">IFERROR(F45/C45,0)</f>
        <v>2.13958421722529</v>
      </c>
      <c r="Q45" s="5" t="n">
        <f aca="false">IFERROR(H45/C45,0)</f>
        <v>461.894951209164</v>
      </c>
      <c r="R45" s="4" t="n">
        <f aca="false">IFERROR(I45/F45,0)</f>
        <v>0.160420384691652</v>
      </c>
      <c r="S45" s="4" t="n">
        <f aca="false">IFERROR(K45/J45,0)</f>
        <v>0.180002769151651</v>
      </c>
      <c r="T45" s="6" t="s">
        <v>23</v>
      </c>
    </row>
    <row r="46" customFormat="false" ht="15" hidden="false" customHeight="false" outlineLevel="0" collapsed="false">
      <c r="A46" s="3" t="s">
        <v>79</v>
      </c>
      <c r="B46" s="3" t="s">
        <v>22</v>
      </c>
      <c r="C46" s="3" t="n">
        <v>663</v>
      </c>
      <c r="D46" s="3" t="n">
        <v>87</v>
      </c>
      <c r="E46" s="3" t="n">
        <v>308</v>
      </c>
      <c r="F46" s="3" t="n">
        <v>1879</v>
      </c>
      <c r="G46" s="3" t="n">
        <v>12</v>
      </c>
      <c r="H46" s="3" t="n">
        <v>330389.4</v>
      </c>
      <c r="I46" s="3" t="n">
        <v>341</v>
      </c>
      <c r="J46" s="3" t="n">
        <v>74309</v>
      </c>
      <c r="K46" s="3" t="n">
        <v>12746</v>
      </c>
      <c r="L46" s="3" t="n">
        <v>317</v>
      </c>
      <c r="M46" s="4" t="n">
        <f aca="false">IFERROR(D46/C46,0)</f>
        <v>0.131221719457014</v>
      </c>
      <c r="N46" s="4" t="n">
        <f aca="false">IFERROR(E46/C46,0)</f>
        <v>0.464555052790347</v>
      </c>
      <c r="O46" s="5" t="n">
        <f aca="false">IFERROR(F46/MAX(C46-D46,1),0)</f>
        <v>3.26215277777778</v>
      </c>
      <c r="P46" s="5" t="n">
        <f aca="false">IFERROR(F46/C46,0)</f>
        <v>2.83408748114631</v>
      </c>
      <c r="Q46" s="5" t="n">
        <f aca="false">IFERROR(H46/C46,0)</f>
        <v>498.324886877828</v>
      </c>
      <c r="R46" s="4" t="n">
        <f aca="false">IFERROR(I46/F46,0)</f>
        <v>0.181479510377861</v>
      </c>
      <c r="S46" s="4" t="n">
        <f aca="false">IFERROR(K46/J46,0)</f>
        <v>0.171527002112799</v>
      </c>
      <c r="T46" s="6" t="s">
        <v>23</v>
      </c>
    </row>
    <row r="47" customFormat="false" ht="15" hidden="false" customHeight="false" outlineLevel="0" collapsed="false">
      <c r="A47" s="3" t="s">
        <v>80</v>
      </c>
      <c r="B47" s="3" t="s">
        <v>22</v>
      </c>
      <c r="C47" s="3" t="n">
        <v>2220</v>
      </c>
      <c r="D47" s="3" t="n">
        <v>350</v>
      </c>
      <c r="E47" s="3" t="n">
        <v>820</v>
      </c>
      <c r="F47" s="3" t="n">
        <v>6540</v>
      </c>
      <c r="G47" s="3" t="n">
        <v>12</v>
      </c>
      <c r="H47" s="3" t="n">
        <v>821768.4</v>
      </c>
      <c r="I47" s="3" t="n">
        <v>1335</v>
      </c>
      <c r="J47" s="3" t="n">
        <v>256682</v>
      </c>
      <c r="K47" s="3" t="n">
        <v>46676</v>
      </c>
      <c r="L47" s="3" t="n">
        <v>985</v>
      </c>
      <c r="M47" s="4" t="n">
        <f aca="false">IFERROR(D47/C47,0)</f>
        <v>0.157657657657658</v>
      </c>
      <c r="N47" s="4" t="n">
        <f aca="false">IFERROR(E47/C47,0)</f>
        <v>0.369369369369369</v>
      </c>
      <c r="O47" s="5" t="n">
        <f aca="false">IFERROR(F47/MAX(C47-D47,1),0)</f>
        <v>3.49732620320856</v>
      </c>
      <c r="P47" s="5" t="n">
        <f aca="false">IFERROR(F47/C47,0)</f>
        <v>2.94594594594595</v>
      </c>
      <c r="Q47" s="5" t="n">
        <f aca="false">IFERROR(H47/C47,0)</f>
        <v>370.165945945946</v>
      </c>
      <c r="R47" s="4" t="n">
        <f aca="false">IFERROR(I47/F47,0)</f>
        <v>0.204128440366972</v>
      </c>
      <c r="S47" s="4" t="n">
        <f aca="false">IFERROR(K47/J47,0)</f>
        <v>0.181843682065747</v>
      </c>
      <c r="T47" s="6" t="s">
        <v>23</v>
      </c>
    </row>
    <row r="48" customFormat="false" ht="15" hidden="false" customHeight="false" outlineLevel="0" collapsed="false">
      <c r="A48" s="3" t="s">
        <v>81</v>
      </c>
      <c r="B48" s="3" t="s">
        <v>26</v>
      </c>
      <c r="C48" s="3" t="n">
        <v>3254</v>
      </c>
      <c r="D48" s="3" t="n">
        <v>259</v>
      </c>
      <c r="E48" s="3" t="n">
        <v>942</v>
      </c>
      <c r="F48" s="3" t="n">
        <v>5676</v>
      </c>
      <c r="G48" s="3" t="n">
        <v>6</v>
      </c>
      <c r="H48" s="3" t="n">
        <v>1140482</v>
      </c>
      <c r="I48" s="3" t="n">
        <v>970</v>
      </c>
      <c r="J48" s="3" t="n">
        <v>580208</v>
      </c>
      <c r="K48" s="3" t="n">
        <v>90163</v>
      </c>
      <c r="L48" s="3" t="n">
        <v>896</v>
      </c>
      <c r="M48" s="4" t="n">
        <f aca="false">IFERROR(D48/C48,0)</f>
        <v>0.0795943454210203</v>
      </c>
      <c r="N48" s="4" t="n">
        <f aca="false">IFERROR(E48/C48,0)</f>
        <v>0.289489858635526</v>
      </c>
      <c r="O48" s="5" t="n">
        <f aca="false">IFERROR(F48/MAX(C48-D48,1),0)</f>
        <v>1.89515859766277</v>
      </c>
      <c r="P48" s="5" t="n">
        <f aca="false">IFERROR(F48/C48,0)</f>
        <v>1.74431468961278</v>
      </c>
      <c r="Q48" s="5" t="n">
        <f aca="false">IFERROR(H48/C48,0)</f>
        <v>350.486170866626</v>
      </c>
      <c r="R48" s="4" t="n">
        <f aca="false">IFERROR(I48/F48,0)</f>
        <v>0.170894996476392</v>
      </c>
      <c r="S48" s="4" t="n">
        <f aca="false">IFERROR(K48/J48,0)</f>
        <v>0.155397719438546</v>
      </c>
      <c r="T48" s="6" t="s">
        <v>23</v>
      </c>
    </row>
    <row r="49" customFormat="false" ht="15" hidden="false" customHeight="false" outlineLevel="0" collapsed="false">
      <c r="A49" s="3" t="s">
        <v>82</v>
      </c>
      <c r="B49" s="3" t="s">
        <v>22</v>
      </c>
      <c r="C49" s="3" t="n">
        <v>3161</v>
      </c>
      <c r="D49" s="3" t="n">
        <v>131</v>
      </c>
      <c r="E49" s="3" t="n">
        <v>696</v>
      </c>
      <c r="F49" s="3" t="n">
        <v>7820</v>
      </c>
      <c r="G49" s="3" t="n">
        <v>8</v>
      </c>
      <c r="H49" s="3" t="n">
        <v>1470072.9</v>
      </c>
      <c r="I49" s="3" t="n">
        <v>1711</v>
      </c>
      <c r="J49" s="3" t="n">
        <v>301566</v>
      </c>
      <c r="K49" s="3" t="n">
        <v>44804</v>
      </c>
      <c r="L49" s="3" t="n">
        <v>738</v>
      </c>
      <c r="M49" s="4" t="n">
        <f aca="false">IFERROR(D49/C49,0)</f>
        <v>0.0414425814615628</v>
      </c>
      <c r="N49" s="4" t="n">
        <f aca="false">IFERROR(E49/C49,0)</f>
        <v>0.220183486238532</v>
      </c>
      <c r="O49" s="5" t="n">
        <f aca="false">IFERROR(F49/MAX(C49-D49,1),0)</f>
        <v>2.58085808580858</v>
      </c>
      <c r="P49" s="5" t="n">
        <f aca="false">IFERROR(F49/C49,0)</f>
        <v>2.47390066434673</v>
      </c>
      <c r="Q49" s="5" t="n">
        <f aca="false">IFERROR(H49/C49,0)</f>
        <v>465.065770325846</v>
      </c>
      <c r="R49" s="4" t="n">
        <f aca="false">IFERROR(I49/F49,0)</f>
        <v>0.218797953964194</v>
      </c>
      <c r="S49" s="4" t="n">
        <f aca="false">IFERROR(K49/J49,0)</f>
        <v>0.14857112539212</v>
      </c>
      <c r="T49" s="6" t="s">
        <v>23</v>
      </c>
    </row>
    <row r="50" customFormat="false" ht="15" hidden="false" customHeight="false" outlineLevel="0" collapsed="false">
      <c r="A50" s="9" t="s">
        <v>83</v>
      </c>
      <c r="B50" s="9" t="s">
        <v>22</v>
      </c>
      <c r="C50" s="9" t="n">
        <v>506</v>
      </c>
      <c r="D50" s="9" t="n">
        <v>170</v>
      </c>
      <c r="E50" s="9" t="n">
        <v>325</v>
      </c>
      <c r="F50" s="9" t="n">
        <v>3768</v>
      </c>
      <c r="G50" s="9" t="n">
        <v>20</v>
      </c>
      <c r="H50" s="9" t="n">
        <v>544963.7</v>
      </c>
      <c r="I50" s="9" t="n">
        <v>1823</v>
      </c>
      <c r="J50" s="9" t="n">
        <v>56690</v>
      </c>
      <c r="K50" s="9" t="n">
        <v>26764</v>
      </c>
      <c r="L50" s="9" t="n">
        <v>195</v>
      </c>
      <c r="M50" s="10" t="n">
        <f aca="false">IFERROR(D50/C50,0)</f>
        <v>0.33596837944664</v>
      </c>
      <c r="N50" s="10" t="n">
        <f aca="false">IFERROR(E50/C50,0)</f>
        <v>0.642292490118577</v>
      </c>
      <c r="O50" s="11" t="n">
        <f aca="false">IFERROR(F50/MAX(C50-D50,1),0)</f>
        <v>11.2142857142857</v>
      </c>
      <c r="P50" s="11" t="n">
        <f aca="false">IFERROR(F50/C50,0)</f>
        <v>7.44664031620553</v>
      </c>
      <c r="Q50" s="11" t="n">
        <f aca="false">IFERROR(H50/C50,0)</f>
        <v>1077.00335968379</v>
      </c>
      <c r="R50" s="10" t="n">
        <f aca="false">IFERROR(I50/F50,0)</f>
        <v>0.483811040339703</v>
      </c>
      <c r="S50" s="10" t="n">
        <f aca="false">IFERROR(K50/J50,0)</f>
        <v>0.472111483506791</v>
      </c>
      <c r="T50" s="12" t="s">
        <v>30</v>
      </c>
    </row>
    <row r="51" customFormat="false" ht="15" hidden="false" customHeight="false" outlineLevel="0" collapsed="false">
      <c r="A51" s="3" t="s">
        <v>84</v>
      </c>
      <c r="B51" s="3" t="s">
        <v>29</v>
      </c>
      <c r="C51" s="3" t="n">
        <v>1558</v>
      </c>
      <c r="D51" s="3" t="n">
        <v>43</v>
      </c>
      <c r="E51" s="3" t="n">
        <v>583</v>
      </c>
      <c r="F51" s="3" t="n">
        <v>1784</v>
      </c>
      <c r="G51" s="3" t="n">
        <v>5</v>
      </c>
      <c r="H51" s="3" t="n">
        <v>628269.5</v>
      </c>
      <c r="I51" s="3" t="n">
        <v>308</v>
      </c>
      <c r="J51" s="3" t="n">
        <v>112115</v>
      </c>
      <c r="K51" s="3" t="n">
        <v>20138</v>
      </c>
      <c r="L51" s="3" t="n">
        <v>0</v>
      </c>
      <c r="M51" s="4" t="n">
        <f aca="false">IFERROR(D51/C51,0)</f>
        <v>0.027599486521181</v>
      </c>
      <c r="N51" s="4" t="n">
        <f aca="false">IFERROR(E51/C51,0)</f>
        <v>0.374197689345315</v>
      </c>
      <c r="O51" s="5" t="n">
        <f aca="false">IFERROR(F51/MAX(C51-D51,1),0)</f>
        <v>1.17755775577558</v>
      </c>
      <c r="P51" s="5" t="n">
        <f aca="false">IFERROR(F51/C51,0)</f>
        <v>1.14505776636714</v>
      </c>
      <c r="Q51" s="5" t="n">
        <f aca="false">IFERROR(H51/C51,0)</f>
        <v>403.253851091143</v>
      </c>
      <c r="R51" s="4" t="n">
        <f aca="false">IFERROR(I51/F51,0)</f>
        <v>0.172645739910314</v>
      </c>
      <c r="S51" s="4" t="n">
        <f aca="false">IFERROR(K51/J51,0)</f>
        <v>0.179619141060518</v>
      </c>
      <c r="T51" s="6" t="s">
        <v>23</v>
      </c>
    </row>
    <row r="52" customFormat="false" ht="15" hidden="false" customHeight="false" outlineLevel="0" collapsed="false">
      <c r="A52" s="9" t="s">
        <v>85</v>
      </c>
      <c r="B52" s="9" t="s">
        <v>22</v>
      </c>
      <c r="C52" s="9" t="n">
        <v>2741</v>
      </c>
      <c r="D52" s="9" t="n">
        <v>608</v>
      </c>
      <c r="E52" s="9" t="n">
        <v>1081</v>
      </c>
      <c r="F52" s="9" t="n">
        <v>11881</v>
      </c>
      <c r="G52" s="9" t="n">
        <v>7</v>
      </c>
      <c r="H52" s="9" t="n">
        <v>1841058.7</v>
      </c>
      <c r="I52" s="9" t="n">
        <v>6684</v>
      </c>
      <c r="J52" s="9" t="n">
        <v>278993</v>
      </c>
      <c r="K52" s="9" t="n">
        <v>203456</v>
      </c>
      <c r="L52" s="9" t="n">
        <v>511</v>
      </c>
      <c r="M52" s="10" t="n">
        <f aca="false">IFERROR(D52/C52,0)</f>
        <v>0.22181685516235</v>
      </c>
      <c r="N52" s="10" t="n">
        <f aca="false">IFERROR(E52/C52,0)</f>
        <v>0.394381612550164</v>
      </c>
      <c r="O52" s="11" t="n">
        <f aca="false">IFERROR(F52/MAX(C52-D52,1),0)</f>
        <v>5.57008907641819</v>
      </c>
      <c r="P52" s="11" t="n">
        <f aca="false">IFERROR(F52/C52,0)</f>
        <v>4.33454943451295</v>
      </c>
      <c r="Q52" s="11" t="n">
        <f aca="false">IFERROR(H52/C52,0)</f>
        <v>671.674097044874</v>
      </c>
      <c r="R52" s="10" t="n">
        <f aca="false">IFERROR(I52/F52,0)</f>
        <v>0.562578907499369</v>
      </c>
      <c r="S52" s="10" t="n">
        <f aca="false">IFERROR(K52/J52,0)</f>
        <v>0.729251271537279</v>
      </c>
      <c r="T52" s="12" t="s">
        <v>30</v>
      </c>
    </row>
    <row r="53" customFormat="false" ht="15" hidden="false" customHeight="false" outlineLevel="0" collapsed="false">
      <c r="A53" s="9" t="s">
        <v>86</v>
      </c>
      <c r="B53" s="9" t="s">
        <v>29</v>
      </c>
      <c r="C53" s="9" t="n">
        <v>2346</v>
      </c>
      <c r="D53" s="9" t="n">
        <v>792</v>
      </c>
      <c r="E53" s="9" t="n">
        <v>1145</v>
      </c>
      <c r="F53" s="9" t="n">
        <v>13138</v>
      </c>
      <c r="G53" s="9" t="n">
        <v>17</v>
      </c>
      <c r="H53" s="9" t="n">
        <v>1969880.5</v>
      </c>
      <c r="I53" s="9" t="n">
        <v>6143</v>
      </c>
      <c r="J53" s="9" t="n">
        <v>327462</v>
      </c>
      <c r="K53" s="9" t="n">
        <v>170676</v>
      </c>
      <c r="L53" s="9" t="n">
        <v>0</v>
      </c>
      <c r="M53" s="10" t="n">
        <f aca="false">IFERROR(D53/C53,0)</f>
        <v>0.337595907928389</v>
      </c>
      <c r="N53" s="10" t="n">
        <f aca="false">IFERROR(E53/C53,0)</f>
        <v>0.488064791133845</v>
      </c>
      <c r="O53" s="11" t="n">
        <f aca="false">IFERROR(F53/MAX(C53-D53,1),0)</f>
        <v>8.45431145431146</v>
      </c>
      <c r="P53" s="11" t="n">
        <f aca="false">IFERROR(F53/C53,0)</f>
        <v>5.6001705029838</v>
      </c>
      <c r="Q53" s="11" t="n">
        <f aca="false">IFERROR(H53/C53,0)</f>
        <v>839.676257459506</v>
      </c>
      <c r="R53" s="10" t="n">
        <f aca="false">IFERROR(I53/F53,0)</f>
        <v>0.46757497335972</v>
      </c>
      <c r="S53" s="10" t="n">
        <f aca="false">IFERROR(K53/J53,0)</f>
        <v>0.521208567711674</v>
      </c>
      <c r="T53" s="12" t="s">
        <v>30</v>
      </c>
    </row>
    <row r="54" customFormat="false" ht="15" hidden="false" customHeight="false" outlineLevel="0" collapsed="false">
      <c r="A54" s="9" t="s">
        <v>87</v>
      </c>
      <c r="B54" s="9" t="s">
        <v>22</v>
      </c>
      <c r="C54" s="9" t="n">
        <v>2540</v>
      </c>
      <c r="D54" s="9" t="n">
        <v>886</v>
      </c>
      <c r="E54" s="9" t="n">
        <v>1692</v>
      </c>
      <c r="F54" s="9" t="n">
        <v>19984</v>
      </c>
      <c r="G54" s="9" t="n">
        <v>29</v>
      </c>
      <c r="H54" s="9" t="n">
        <v>2511994.3</v>
      </c>
      <c r="I54" s="9" t="n">
        <v>13254</v>
      </c>
      <c r="J54" s="9" t="n">
        <v>359075</v>
      </c>
      <c r="K54" s="9" t="n">
        <v>196295</v>
      </c>
      <c r="L54" s="9" t="n">
        <v>955</v>
      </c>
      <c r="M54" s="10" t="n">
        <f aca="false">IFERROR(D54/C54,0)</f>
        <v>0.348818897637795</v>
      </c>
      <c r="N54" s="10" t="n">
        <f aca="false">IFERROR(E54/C54,0)</f>
        <v>0.666141732283465</v>
      </c>
      <c r="O54" s="11" t="n">
        <f aca="false">IFERROR(F54/MAX(C54-D54,1),0)</f>
        <v>12.0822249093108</v>
      </c>
      <c r="P54" s="11" t="n">
        <f aca="false">IFERROR(F54/C54,0)</f>
        <v>7.86771653543307</v>
      </c>
      <c r="Q54" s="11" t="n">
        <f aca="false">IFERROR(H54/C54,0)</f>
        <v>988.974133858268</v>
      </c>
      <c r="R54" s="10" t="n">
        <f aca="false">IFERROR(I54/F54,0)</f>
        <v>0.663230584467574</v>
      </c>
      <c r="S54" s="10" t="n">
        <f aca="false">IFERROR(K54/J54,0)</f>
        <v>0.546668523289007</v>
      </c>
      <c r="T54" s="12" t="s">
        <v>30</v>
      </c>
    </row>
    <row r="55" customFormat="false" ht="15" hidden="false" customHeight="false" outlineLevel="0" collapsed="false">
      <c r="A55" s="3" t="s">
        <v>88</v>
      </c>
      <c r="B55" s="3" t="s">
        <v>29</v>
      </c>
      <c r="C55" s="3" t="n">
        <v>2579</v>
      </c>
      <c r="D55" s="3" t="n">
        <v>148</v>
      </c>
      <c r="E55" s="3" t="n">
        <v>1014</v>
      </c>
      <c r="F55" s="3" t="n">
        <v>2695</v>
      </c>
      <c r="G55" s="3" t="n">
        <v>5</v>
      </c>
      <c r="H55" s="3" t="n">
        <v>641720.7</v>
      </c>
      <c r="I55" s="3" t="n">
        <v>321</v>
      </c>
      <c r="J55" s="3" t="n">
        <v>326260</v>
      </c>
      <c r="K55" s="3" t="n">
        <v>71076</v>
      </c>
      <c r="L55" s="3" t="n">
        <v>0</v>
      </c>
      <c r="M55" s="4" t="n">
        <f aca="false">IFERROR(D55/C55,0)</f>
        <v>0.0573865839472664</v>
      </c>
      <c r="N55" s="4" t="n">
        <f aca="false">IFERROR(E55/C55,0)</f>
        <v>0.393175649476541</v>
      </c>
      <c r="O55" s="5" t="n">
        <f aca="false">IFERROR(F55/MAX(C55-D55,1),0)</f>
        <v>1.10859728506787</v>
      </c>
      <c r="P55" s="5" t="n">
        <f aca="false">IFERROR(F55/C55,0)</f>
        <v>1.04497867390461</v>
      </c>
      <c r="Q55" s="5" t="n">
        <f aca="false">IFERROR(H55/C55,0)</f>
        <v>248.825397440869</v>
      </c>
      <c r="R55" s="4" t="n">
        <f aca="false">IFERROR(I55/F55,0)</f>
        <v>0.119109461966605</v>
      </c>
      <c r="S55" s="4" t="n">
        <f aca="false">IFERROR(K55/J55,0)</f>
        <v>0.217850793845399</v>
      </c>
      <c r="T55" s="6" t="s">
        <v>23</v>
      </c>
    </row>
    <row r="56" customFormat="false" ht="15" hidden="false" customHeight="false" outlineLevel="0" collapsed="false">
      <c r="A56" s="3" t="s">
        <v>89</v>
      </c>
      <c r="B56" s="3" t="s">
        <v>29</v>
      </c>
      <c r="C56" s="3" t="n">
        <v>1420</v>
      </c>
      <c r="D56" s="3" t="n">
        <v>126</v>
      </c>
      <c r="E56" s="3" t="n">
        <v>564</v>
      </c>
      <c r="F56" s="3" t="n">
        <v>2911</v>
      </c>
      <c r="G56" s="3" t="n">
        <v>8</v>
      </c>
      <c r="H56" s="3" t="n">
        <v>375562.8</v>
      </c>
      <c r="I56" s="3" t="n">
        <v>685</v>
      </c>
      <c r="J56" s="3" t="n">
        <v>127351</v>
      </c>
      <c r="K56" s="3" t="n">
        <v>26200</v>
      </c>
      <c r="L56" s="3" t="n">
        <v>0</v>
      </c>
      <c r="M56" s="4" t="n">
        <f aca="false">IFERROR(D56/C56,0)</f>
        <v>0.0887323943661972</v>
      </c>
      <c r="N56" s="4" t="n">
        <f aca="false">IFERROR(E56/C56,0)</f>
        <v>0.397183098591549</v>
      </c>
      <c r="O56" s="5" t="n">
        <f aca="false">IFERROR(F56/MAX(C56-D56,1),0)</f>
        <v>2.24961360123648</v>
      </c>
      <c r="P56" s="5" t="n">
        <f aca="false">IFERROR(F56/C56,0)</f>
        <v>2.05</v>
      </c>
      <c r="Q56" s="5" t="n">
        <f aca="false">IFERROR(H56/C56,0)</f>
        <v>264.480845070423</v>
      </c>
      <c r="R56" s="4" t="n">
        <f aca="false">IFERROR(I56/F56,0)</f>
        <v>0.235314324974236</v>
      </c>
      <c r="S56" s="4" t="n">
        <f aca="false">IFERROR(K56/J56,0)</f>
        <v>0.205730618526749</v>
      </c>
      <c r="T56" s="6" t="s">
        <v>23</v>
      </c>
    </row>
    <row r="57" customFormat="false" ht="15" hidden="false" customHeight="false" outlineLevel="0" collapsed="false">
      <c r="A57" s="9" t="s">
        <v>90</v>
      </c>
      <c r="B57" s="9" t="s">
        <v>29</v>
      </c>
      <c r="C57" s="9" t="n">
        <v>1701</v>
      </c>
      <c r="D57" s="9" t="n">
        <v>484</v>
      </c>
      <c r="E57" s="9" t="n">
        <v>1060</v>
      </c>
      <c r="F57" s="9" t="n">
        <v>11895</v>
      </c>
      <c r="G57" s="9" t="n">
        <v>31</v>
      </c>
      <c r="H57" s="9" t="n">
        <v>1290788.4</v>
      </c>
      <c r="I57" s="9" t="n">
        <v>4588</v>
      </c>
      <c r="J57" s="9" t="n">
        <v>170913</v>
      </c>
      <c r="K57" s="9" t="n">
        <v>80807</v>
      </c>
      <c r="L57" s="9" t="n">
        <v>0</v>
      </c>
      <c r="M57" s="10" t="n">
        <f aca="false">IFERROR(D57/C57,0)</f>
        <v>0.284538506760729</v>
      </c>
      <c r="N57" s="10" t="n">
        <f aca="false">IFERROR(E57/C57,0)</f>
        <v>0.623162845385068</v>
      </c>
      <c r="O57" s="11" t="n">
        <f aca="false">IFERROR(F57/MAX(C57-D57,1),0)</f>
        <v>9.77403451109285</v>
      </c>
      <c r="P57" s="11" t="n">
        <f aca="false">IFERROR(F57/C57,0)</f>
        <v>6.99294532627866</v>
      </c>
      <c r="Q57" s="11" t="n">
        <f aca="false">IFERROR(H57/C57,0)</f>
        <v>758.840917107584</v>
      </c>
      <c r="R57" s="10" t="n">
        <f aca="false">IFERROR(I57/F57,0)</f>
        <v>0.385708280790248</v>
      </c>
      <c r="S57" s="10" t="n">
        <f aca="false">IFERROR(K57/J57,0)</f>
        <v>0.472796100940244</v>
      </c>
      <c r="T57" s="12" t="s">
        <v>30</v>
      </c>
    </row>
    <row r="58" customFormat="false" ht="15" hidden="false" customHeight="false" outlineLevel="0" collapsed="false">
      <c r="A58" s="9" t="s">
        <v>91</v>
      </c>
      <c r="B58" s="9" t="s">
        <v>22</v>
      </c>
      <c r="C58" s="9" t="n">
        <v>3218</v>
      </c>
      <c r="D58" s="9" t="n">
        <v>1226</v>
      </c>
      <c r="E58" s="9" t="n">
        <v>2206</v>
      </c>
      <c r="F58" s="9" t="n">
        <v>31335</v>
      </c>
      <c r="G58" s="9" t="n">
        <v>23</v>
      </c>
      <c r="H58" s="9" t="n">
        <v>3943888</v>
      </c>
      <c r="I58" s="9" t="n">
        <v>28881</v>
      </c>
      <c r="J58" s="9" t="n">
        <v>405855</v>
      </c>
      <c r="K58" s="9" t="n">
        <v>266677</v>
      </c>
      <c r="L58" s="9" t="n">
        <v>1568</v>
      </c>
      <c r="M58" s="10" t="n">
        <f aca="false">IFERROR(D58/C58,0)</f>
        <v>0.380981976382847</v>
      </c>
      <c r="N58" s="10" t="n">
        <f aca="false">IFERROR(E58/C58,0)</f>
        <v>0.685518955873213</v>
      </c>
      <c r="O58" s="11" t="n">
        <f aca="false">IFERROR(F58/MAX(C58-D58,1),0)</f>
        <v>15.730421686747</v>
      </c>
      <c r="P58" s="11" t="n">
        <f aca="false">IFERROR(F58/C58,0)</f>
        <v>9.73741454319453</v>
      </c>
      <c r="Q58" s="11" t="n">
        <f aca="false">IFERROR(H58/C58,0)</f>
        <v>1225.57116221255</v>
      </c>
      <c r="R58" s="10" t="n">
        <f aca="false">IFERROR(I58/F58,0)</f>
        <v>0.921685016754428</v>
      </c>
      <c r="S58" s="10" t="n">
        <f aca="false">IFERROR(K58/J58,0)</f>
        <v>0.657074570967464</v>
      </c>
      <c r="T58" s="12" t="s">
        <v>30</v>
      </c>
    </row>
    <row r="59" customFormat="false" ht="15" hidden="false" customHeight="false" outlineLevel="0" collapsed="false">
      <c r="A59" s="3" t="s">
        <v>92</v>
      </c>
      <c r="B59" s="3" t="s">
        <v>22</v>
      </c>
      <c r="C59" s="3" t="n">
        <v>1352</v>
      </c>
      <c r="D59" s="3" t="n">
        <v>136</v>
      </c>
      <c r="E59" s="3" t="n">
        <v>577</v>
      </c>
      <c r="F59" s="3" t="n">
        <v>3491</v>
      </c>
      <c r="G59" s="3" t="n">
        <v>10</v>
      </c>
      <c r="H59" s="3" t="n">
        <v>654649.5</v>
      </c>
      <c r="I59" s="3" t="n">
        <v>691</v>
      </c>
      <c r="J59" s="3" t="n">
        <v>205959</v>
      </c>
      <c r="K59" s="3" t="n">
        <v>34283</v>
      </c>
      <c r="L59" s="3" t="n">
        <v>176</v>
      </c>
      <c r="M59" s="4" t="n">
        <f aca="false">IFERROR(D59/C59,0)</f>
        <v>0.100591715976331</v>
      </c>
      <c r="N59" s="4" t="n">
        <f aca="false">IFERROR(E59/C59,0)</f>
        <v>0.426775147928994</v>
      </c>
      <c r="O59" s="5" t="n">
        <f aca="false">IFERROR(F59/MAX(C59-D59,1),0)</f>
        <v>2.87088815789474</v>
      </c>
      <c r="P59" s="5" t="n">
        <f aca="false">IFERROR(F59/C59,0)</f>
        <v>2.58210059171598</v>
      </c>
      <c r="Q59" s="5" t="n">
        <f aca="false">IFERROR(H59/C59,0)</f>
        <v>484.208210059172</v>
      </c>
      <c r="R59" s="4" t="n">
        <f aca="false">IFERROR(I59/F59,0)</f>
        <v>0.197937553709539</v>
      </c>
      <c r="S59" s="4" t="n">
        <f aca="false">IFERROR(K59/J59,0)</f>
        <v>0.166455459581761</v>
      </c>
      <c r="T59" s="6" t="s">
        <v>23</v>
      </c>
    </row>
    <row r="60" customFormat="false" ht="15" hidden="false" customHeight="false" outlineLevel="0" collapsed="false">
      <c r="A60" s="3" t="s">
        <v>93</v>
      </c>
      <c r="B60" s="3" t="s">
        <v>22</v>
      </c>
      <c r="C60" s="3" t="n">
        <v>3077</v>
      </c>
      <c r="D60" s="3" t="n">
        <v>359</v>
      </c>
      <c r="E60" s="3" t="n">
        <v>1141</v>
      </c>
      <c r="F60" s="3" t="n">
        <v>9342</v>
      </c>
      <c r="G60" s="3" t="n">
        <v>12</v>
      </c>
      <c r="H60" s="3" t="n">
        <v>1676663.4</v>
      </c>
      <c r="I60" s="3" t="n">
        <v>1957</v>
      </c>
      <c r="J60" s="3" t="n">
        <v>315380</v>
      </c>
      <c r="K60" s="3" t="n">
        <v>72985</v>
      </c>
      <c r="L60" s="3" t="n">
        <v>1499</v>
      </c>
      <c r="M60" s="4" t="n">
        <f aca="false">IFERROR(D60/C60,0)</f>
        <v>0.11667208319792</v>
      </c>
      <c r="N60" s="4" t="n">
        <f aca="false">IFERROR(E60/C60,0)</f>
        <v>0.37081572960676</v>
      </c>
      <c r="O60" s="5" t="n">
        <f aca="false">IFERROR(F60/MAX(C60-D60,1),0)</f>
        <v>3.43708609271523</v>
      </c>
      <c r="P60" s="5" t="n">
        <f aca="false">IFERROR(F60/C60,0)</f>
        <v>3.03607409814755</v>
      </c>
      <c r="Q60" s="5" t="n">
        <f aca="false">IFERROR(H60/C60,0)</f>
        <v>544.901982450439</v>
      </c>
      <c r="R60" s="4" t="n">
        <f aca="false">IFERROR(I60/F60,0)</f>
        <v>0.209484050524513</v>
      </c>
      <c r="S60" s="4" t="n">
        <f aca="false">IFERROR(K60/J60,0)</f>
        <v>0.231419240281565</v>
      </c>
      <c r="T60" s="6" t="s">
        <v>23</v>
      </c>
    </row>
    <row r="61" customFormat="false" ht="15" hidden="false" customHeight="false" outlineLevel="0" collapsed="false">
      <c r="A61" s="9" t="s">
        <v>94</v>
      </c>
      <c r="B61" s="9" t="s">
        <v>22</v>
      </c>
      <c r="C61" s="9" t="n">
        <v>3951</v>
      </c>
      <c r="D61" s="9" t="n">
        <v>1490</v>
      </c>
      <c r="E61" s="9" t="n">
        <v>2208</v>
      </c>
      <c r="F61" s="9" t="n">
        <v>38249</v>
      </c>
      <c r="G61" s="9" t="n">
        <v>31</v>
      </c>
      <c r="H61" s="9" t="n">
        <v>3511012.2</v>
      </c>
      <c r="I61" s="9" t="n">
        <v>18006</v>
      </c>
      <c r="J61" s="9" t="n">
        <v>604922</v>
      </c>
      <c r="K61" s="9" t="n">
        <v>316490</v>
      </c>
      <c r="L61" s="9" t="n">
        <v>1999</v>
      </c>
      <c r="M61" s="10" t="n">
        <f aca="false">IFERROR(D61/C61,0)</f>
        <v>0.377119716527461</v>
      </c>
      <c r="N61" s="10" t="n">
        <f aca="false">IFERROR(E61/C61,0)</f>
        <v>0.558845861807138</v>
      </c>
      <c r="O61" s="11" t="n">
        <f aca="false">IFERROR(F61/MAX(C61-D61,1),0)</f>
        <v>15.5420560747664</v>
      </c>
      <c r="P61" s="11" t="n">
        <f aca="false">IFERROR(F61/C61,0)</f>
        <v>9.68084029359656</v>
      </c>
      <c r="Q61" s="11" t="n">
        <f aca="false">IFERROR(H61/C61,0)</f>
        <v>888.638876233865</v>
      </c>
      <c r="R61" s="10" t="n">
        <f aca="false">IFERROR(I61/F61,0)</f>
        <v>0.470757405422364</v>
      </c>
      <c r="S61" s="10" t="n">
        <f aca="false">IFERROR(K61/J61,0)</f>
        <v>0.523191419720228</v>
      </c>
      <c r="T61" s="12" t="s">
        <v>30</v>
      </c>
    </row>
    <row r="62" customFormat="false" ht="15" hidden="false" customHeight="false" outlineLevel="0" collapsed="false">
      <c r="A62" s="3" t="s">
        <v>95</v>
      </c>
      <c r="B62" s="3" t="s">
        <v>22</v>
      </c>
      <c r="C62" s="3" t="n">
        <v>3576</v>
      </c>
      <c r="D62" s="3" t="n">
        <v>201</v>
      </c>
      <c r="E62" s="3" t="n">
        <v>1025</v>
      </c>
      <c r="F62" s="3" t="n">
        <v>5548</v>
      </c>
      <c r="G62" s="3" t="n">
        <v>7</v>
      </c>
      <c r="H62" s="3" t="n">
        <v>1472017</v>
      </c>
      <c r="I62" s="3" t="n">
        <v>833</v>
      </c>
      <c r="J62" s="3" t="n">
        <v>672182</v>
      </c>
      <c r="K62" s="3" t="n">
        <v>136744</v>
      </c>
      <c r="L62" s="3" t="n">
        <v>1055</v>
      </c>
      <c r="M62" s="4" t="n">
        <f aca="false">IFERROR(D62/C62,0)</f>
        <v>0.0562080536912752</v>
      </c>
      <c r="N62" s="4" t="n">
        <f aca="false">IFERROR(E62/C62,0)</f>
        <v>0.286633109619687</v>
      </c>
      <c r="O62" s="5" t="n">
        <f aca="false">IFERROR(F62/MAX(C62-D62,1),0)</f>
        <v>1.64385185185185</v>
      </c>
      <c r="P62" s="5" t="n">
        <f aca="false">IFERROR(F62/C62,0)</f>
        <v>1.55145413870246</v>
      </c>
      <c r="Q62" s="5" t="n">
        <f aca="false">IFERROR(H62/C62,0)</f>
        <v>411.637863534676</v>
      </c>
      <c r="R62" s="4" t="n">
        <f aca="false">IFERROR(I62/F62,0)</f>
        <v>0.150144196106705</v>
      </c>
      <c r="S62" s="4" t="n">
        <f aca="false">IFERROR(K62/J62,0)</f>
        <v>0.20343299880092</v>
      </c>
      <c r="T62" s="6" t="s">
        <v>23</v>
      </c>
    </row>
    <row r="63" customFormat="false" ht="15" hidden="false" customHeight="false" outlineLevel="0" collapsed="false">
      <c r="A63" s="3" t="s">
        <v>96</v>
      </c>
      <c r="B63" s="3" t="s">
        <v>26</v>
      </c>
      <c r="C63" s="3" t="n">
        <v>3000</v>
      </c>
      <c r="D63" s="3" t="n">
        <v>476</v>
      </c>
      <c r="E63" s="3" t="n">
        <v>1234</v>
      </c>
      <c r="F63" s="3" t="n">
        <v>9058</v>
      </c>
      <c r="G63" s="3" t="n">
        <v>12</v>
      </c>
      <c r="H63" s="3" t="n">
        <v>1912210.9</v>
      </c>
      <c r="I63" s="3" t="n">
        <v>2535</v>
      </c>
      <c r="J63" s="3" t="n">
        <v>457962</v>
      </c>
      <c r="K63" s="3" t="n">
        <v>82749</v>
      </c>
      <c r="L63" s="3" t="n">
        <v>1162</v>
      </c>
      <c r="M63" s="4" t="n">
        <f aca="false">IFERROR(D63/C63,0)</f>
        <v>0.158666666666667</v>
      </c>
      <c r="N63" s="4" t="n">
        <f aca="false">IFERROR(E63/C63,0)</f>
        <v>0.411333333333333</v>
      </c>
      <c r="O63" s="5" t="n">
        <f aca="false">IFERROR(F63/MAX(C63-D63,1),0)</f>
        <v>3.58874801901743</v>
      </c>
      <c r="P63" s="5" t="n">
        <f aca="false">IFERROR(F63/C63,0)</f>
        <v>3.01933333333333</v>
      </c>
      <c r="Q63" s="5" t="n">
        <f aca="false">IFERROR(H63/C63,0)</f>
        <v>637.403633333333</v>
      </c>
      <c r="R63" s="4" t="n">
        <f aca="false">IFERROR(I63/F63,0)</f>
        <v>0.279863104438066</v>
      </c>
      <c r="S63" s="4" t="n">
        <f aca="false">IFERROR(K63/J63,0)</f>
        <v>0.180689664207947</v>
      </c>
      <c r="T63" s="6" t="s">
        <v>23</v>
      </c>
    </row>
    <row r="64" customFormat="false" ht="15" hidden="false" customHeight="false" outlineLevel="0" collapsed="false">
      <c r="A64" s="3" t="s">
        <v>97</v>
      </c>
      <c r="B64" s="3" t="s">
        <v>26</v>
      </c>
      <c r="C64" s="3" t="n">
        <v>2030</v>
      </c>
      <c r="D64" s="3" t="n">
        <v>99</v>
      </c>
      <c r="E64" s="3" t="n">
        <v>626</v>
      </c>
      <c r="F64" s="3" t="n">
        <v>3436</v>
      </c>
      <c r="G64" s="3" t="n">
        <v>4</v>
      </c>
      <c r="H64" s="3" t="n">
        <v>819581</v>
      </c>
      <c r="I64" s="3" t="n">
        <v>563</v>
      </c>
      <c r="J64" s="3" t="n">
        <v>151984</v>
      </c>
      <c r="K64" s="3" t="n">
        <v>22118</v>
      </c>
      <c r="L64" s="3" t="n">
        <v>445</v>
      </c>
      <c r="M64" s="4" t="n">
        <f aca="false">IFERROR(D64/C64,0)</f>
        <v>0.0487684729064039</v>
      </c>
      <c r="N64" s="4" t="n">
        <f aca="false">IFERROR(E64/C64,0)</f>
        <v>0.308374384236453</v>
      </c>
      <c r="O64" s="5" t="n">
        <f aca="false">IFERROR(F64/MAX(C64-D64,1),0)</f>
        <v>1.77938891765924</v>
      </c>
      <c r="P64" s="5" t="n">
        <f aca="false">IFERROR(F64/C64,0)</f>
        <v>1.69261083743842</v>
      </c>
      <c r="Q64" s="5" t="n">
        <f aca="false">IFERROR(H64/C64,0)</f>
        <v>403.734482758621</v>
      </c>
      <c r="R64" s="4" t="n">
        <f aca="false">IFERROR(I64/F64,0)</f>
        <v>0.163853317811409</v>
      </c>
      <c r="S64" s="4" t="n">
        <f aca="false">IFERROR(K64/J64,0)</f>
        <v>0.145528476681756</v>
      </c>
      <c r="T64" s="6" t="s">
        <v>23</v>
      </c>
    </row>
    <row r="65" customFormat="false" ht="15" hidden="false" customHeight="false" outlineLevel="0" collapsed="false">
      <c r="A65" s="9" t="s">
        <v>98</v>
      </c>
      <c r="B65" s="9" t="s">
        <v>22</v>
      </c>
      <c r="C65" s="9" t="n">
        <v>3012</v>
      </c>
      <c r="D65" s="9" t="n">
        <v>881</v>
      </c>
      <c r="E65" s="9" t="n">
        <v>1502</v>
      </c>
      <c r="F65" s="9" t="n">
        <v>21483</v>
      </c>
      <c r="G65" s="9" t="n">
        <v>20</v>
      </c>
      <c r="H65" s="9" t="n">
        <v>3799374.9</v>
      </c>
      <c r="I65" s="9" t="n">
        <v>13906</v>
      </c>
      <c r="J65" s="9" t="n">
        <v>471050</v>
      </c>
      <c r="K65" s="9" t="n">
        <v>271156</v>
      </c>
      <c r="L65" s="9" t="n">
        <v>749</v>
      </c>
      <c r="M65" s="10" t="n">
        <f aca="false">IFERROR(D65/C65,0)</f>
        <v>0.292496679946879</v>
      </c>
      <c r="N65" s="10" t="n">
        <f aca="false">IFERROR(E65/C65,0)</f>
        <v>0.49867197875166</v>
      </c>
      <c r="O65" s="11" t="n">
        <f aca="false">IFERROR(F65/MAX(C65-D65,1),0)</f>
        <v>10.0811825434069</v>
      </c>
      <c r="P65" s="11" t="n">
        <f aca="false">IFERROR(F65/C65,0)</f>
        <v>7.13247011952191</v>
      </c>
      <c r="Q65" s="11" t="n">
        <f aca="false">IFERROR(H65/C65,0)</f>
        <v>1261.41264940239</v>
      </c>
      <c r="R65" s="10" t="n">
        <f aca="false">IFERROR(I65/F65,0)</f>
        <v>0.64730251827026</v>
      </c>
      <c r="S65" s="10" t="n">
        <f aca="false">IFERROR(K65/J65,0)</f>
        <v>0.575641651629339</v>
      </c>
      <c r="T65" s="12" t="s">
        <v>30</v>
      </c>
    </row>
    <row r="66" customFormat="false" ht="15" hidden="false" customHeight="false" outlineLevel="0" collapsed="false">
      <c r="A66" s="3" t="s">
        <v>99</v>
      </c>
      <c r="B66" s="3" t="s">
        <v>29</v>
      </c>
      <c r="C66" s="3" t="n">
        <v>1414</v>
      </c>
      <c r="D66" s="3" t="n">
        <v>112</v>
      </c>
      <c r="E66" s="3" t="n">
        <v>377</v>
      </c>
      <c r="F66" s="3" t="n">
        <v>4796</v>
      </c>
      <c r="G66" s="3" t="n">
        <v>16</v>
      </c>
      <c r="H66" s="3" t="n">
        <v>448606</v>
      </c>
      <c r="I66" s="3" t="n">
        <v>1021</v>
      </c>
      <c r="J66" s="3" t="n">
        <v>209100</v>
      </c>
      <c r="K66" s="3" t="n">
        <v>36894</v>
      </c>
      <c r="L66" s="3" t="n">
        <v>0</v>
      </c>
      <c r="M66" s="4" t="n">
        <f aca="false">IFERROR(D66/C66,0)</f>
        <v>0.0792079207920792</v>
      </c>
      <c r="N66" s="4" t="n">
        <f aca="false">IFERROR(E66/C66,0)</f>
        <v>0.266619519094767</v>
      </c>
      <c r="O66" s="5" t="n">
        <f aca="false">IFERROR(F66/MAX(C66-D66,1),0)</f>
        <v>3.68356374807988</v>
      </c>
      <c r="P66" s="5" t="n">
        <f aca="false">IFERROR(F66/C66,0)</f>
        <v>3.39179632248939</v>
      </c>
      <c r="Q66" s="5" t="n">
        <f aca="false">IFERROR(H66/C66,0)</f>
        <v>317.260254596888</v>
      </c>
      <c r="R66" s="4" t="n">
        <f aca="false">IFERROR(I66/F66,0)</f>
        <v>0.212885738115096</v>
      </c>
      <c r="S66" s="4" t="n">
        <f aca="false">IFERROR(K66/J66,0)</f>
        <v>0.176441893830703</v>
      </c>
      <c r="T66" s="6" t="s">
        <v>23</v>
      </c>
    </row>
    <row r="67" customFormat="false" ht="15" hidden="false" customHeight="false" outlineLevel="0" collapsed="false">
      <c r="A67" s="3" t="s">
        <v>100</v>
      </c>
      <c r="B67" s="3" t="s">
        <v>26</v>
      </c>
      <c r="C67" s="3" t="n">
        <v>3147</v>
      </c>
      <c r="D67" s="3" t="n">
        <v>210</v>
      </c>
      <c r="E67" s="3" t="n">
        <v>933</v>
      </c>
      <c r="F67" s="3" t="n">
        <v>5643</v>
      </c>
      <c r="G67" s="3" t="n">
        <v>8</v>
      </c>
      <c r="H67" s="3" t="n">
        <v>1343065.3</v>
      </c>
      <c r="I67" s="3" t="n">
        <v>962</v>
      </c>
      <c r="J67" s="3" t="n">
        <v>252007</v>
      </c>
      <c r="K67" s="3" t="n">
        <v>48307</v>
      </c>
      <c r="L67" s="3" t="n">
        <v>1105</v>
      </c>
      <c r="M67" s="4" t="n">
        <f aca="false">IFERROR(D67/C67,0)</f>
        <v>0.0667302192564347</v>
      </c>
      <c r="N67" s="4" t="n">
        <f aca="false">IFERROR(E67/C67,0)</f>
        <v>0.296472831267874</v>
      </c>
      <c r="O67" s="5" t="n">
        <f aca="false">IFERROR(F67/MAX(C67-D67,1),0)</f>
        <v>1.92134831460674</v>
      </c>
      <c r="P67" s="5" t="n">
        <f aca="false">IFERROR(F67/C67,0)</f>
        <v>1.79313632030505</v>
      </c>
      <c r="Q67" s="5" t="n">
        <f aca="false">IFERROR(H67/C67,0)</f>
        <v>426.776390212901</v>
      </c>
      <c r="R67" s="4" t="n">
        <f aca="false">IFERROR(I67/F67,0)</f>
        <v>0.170476696792486</v>
      </c>
      <c r="S67" s="4" t="n">
        <f aca="false">IFERROR(K67/J67,0)</f>
        <v>0.191689119746674</v>
      </c>
      <c r="T67" s="6" t="s">
        <v>23</v>
      </c>
    </row>
    <row r="68" customFormat="false" ht="15" hidden="false" customHeight="false" outlineLevel="0" collapsed="false">
      <c r="A68" s="3" t="s">
        <v>101</v>
      </c>
      <c r="B68" s="3" t="s">
        <v>26</v>
      </c>
      <c r="C68" s="3" t="n">
        <v>2847</v>
      </c>
      <c r="D68" s="3" t="n">
        <v>393</v>
      </c>
      <c r="E68" s="3" t="n">
        <v>1090</v>
      </c>
      <c r="F68" s="3" t="n">
        <v>9249</v>
      </c>
      <c r="G68" s="3" t="n">
        <v>17</v>
      </c>
      <c r="H68" s="3" t="n">
        <v>1249073.7</v>
      </c>
      <c r="I68" s="3" t="n">
        <v>1971</v>
      </c>
      <c r="J68" s="3" t="n">
        <v>209967</v>
      </c>
      <c r="K68" s="3" t="n">
        <v>33293</v>
      </c>
      <c r="L68" s="3" t="n">
        <v>1080</v>
      </c>
      <c r="M68" s="4" t="n">
        <f aca="false">IFERROR(D68/C68,0)</f>
        <v>0.138040042149631</v>
      </c>
      <c r="N68" s="4" t="n">
        <f aca="false">IFERROR(E68/C68,0)</f>
        <v>0.382859149982438</v>
      </c>
      <c r="O68" s="5" t="n">
        <f aca="false">IFERROR(F68/MAX(C68-D68,1),0)</f>
        <v>3.76894865525672</v>
      </c>
      <c r="P68" s="5" t="n">
        <f aca="false">IFERROR(F68/C68,0)</f>
        <v>3.24868282402529</v>
      </c>
      <c r="Q68" s="5" t="n">
        <f aca="false">IFERROR(H68/C68,0)</f>
        <v>438.733298208641</v>
      </c>
      <c r="R68" s="4" t="n">
        <f aca="false">IFERROR(I68/F68,0)</f>
        <v>0.213104119364256</v>
      </c>
      <c r="S68" s="4" t="n">
        <f aca="false">IFERROR(K68/J68,0)</f>
        <v>0.158563012282883</v>
      </c>
      <c r="T68" s="6" t="s">
        <v>23</v>
      </c>
    </row>
    <row r="69" customFormat="false" ht="15" hidden="false" customHeight="false" outlineLevel="0" collapsed="false">
      <c r="A69" s="3" t="s">
        <v>102</v>
      </c>
      <c r="B69" s="3" t="s">
        <v>26</v>
      </c>
      <c r="C69" s="3" t="n">
        <v>1254</v>
      </c>
      <c r="D69" s="3" t="n">
        <v>106</v>
      </c>
      <c r="E69" s="3" t="n">
        <v>476</v>
      </c>
      <c r="F69" s="3" t="n">
        <v>4022</v>
      </c>
      <c r="G69" s="3" t="n">
        <v>11</v>
      </c>
      <c r="H69" s="3" t="n">
        <v>504522</v>
      </c>
      <c r="I69" s="3" t="n">
        <v>740</v>
      </c>
      <c r="J69" s="3" t="n">
        <v>110963</v>
      </c>
      <c r="K69" s="3" t="n">
        <v>18718</v>
      </c>
      <c r="L69" s="3" t="n">
        <v>385</v>
      </c>
      <c r="M69" s="4" t="n">
        <f aca="false">IFERROR(D69/C69,0)</f>
        <v>0.0845295055821372</v>
      </c>
      <c r="N69" s="4" t="n">
        <f aca="false">IFERROR(E69/C69,0)</f>
        <v>0.379585326953748</v>
      </c>
      <c r="O69" s="5" t="n">
        <f aca="false">IFERROR(F69/MAX(C69-D69,1),0)</f>
        <v>3.50348432055749</v>
      </c>
      <c r="P69" s="5" t="n">
        <f aca="false">IFERROR(F69/C69,0)</f>
        <v>3.207336523126</v>
      </c>
      <c r="Q69" s="5" t="n">
        <f aca="false">IFERROR(H69/C69,0)</f>
        <v>402.33014354067</v>
      </c>
      <c r="R69" s="4" t="n">
        <f aca="false">IFERROR(I69/F69,0)</f>
        <v>0.183988065638986</v>
      </c>
      <c r="S69" s="4" t="n">
        <f aca="false">IFERROR(K69/J69,0)</f>
        <v>0.168686859583825</v>
      </c>
      <c r="T69" s="6" t="s">
        <v>23</v>
      </c>
    </row>
    <row r="70" customFormat="false" ht="15" hidden="false" customHeight="false" outlineLevel="0" collapsed="false">
      <c r="A70" s="9" t="s">
        <v>103</v>
      </c>
      <c r="B70" s="9" t="s">
        <v>29</v>
      </c>
      <c r="C70" s="9" t="n">
        <v>2652</v>
      </c>
      <c r="D70" s="9" t="n">
        <v>1031</v>
      </c>
      <c r="E70" s="9" t="n">
        <v>1531</v>
      </c>
      <c r="F70" s="9" t="n">
        <v>24026</v>
      </c>
      <c r="G70" s="9" t="n">
        <v>30</v>
      </c>
      <c r="H70" s="9" t="n">
        <v>1764623.9</v>
      </c>
      <c r="I70" s="9" t="n">
        <v>17095</v>
      </c>
      <c r="J70" s="9" t="n">
        <v>418388</v>
      </c>
      <c r="K70" s="9" t="n">
        <v>268272</v>
      </c>
      <c r="L70" s="9" t="n">
        <v>0</v>
      </c>
      <c r="M70" s="10" t="n">
        <f aca="false">IFERROR(D70/C70,0)</f>
        <v>0.388763197586727</v>
      </c>
      <c r="N70" s="10" t="n">
        <f aca="false">IFERROR(E70/C70,0)</f>
        <v>0.577300150829563</v>
      </c>
      <c r="O70" s="11" t="n">
        <f aca="false">IFERROR(F70/MAX(C70-D70,1),0)</f>
        <v>14.8217149907465</v>
      </c>
      <c r="P70" s="11" t="n">
        <f aca="false">IFERROR(F70/C70,0)</f>
        <v>9.05957767722474</v>
      </c>
      <c r="Q70" s="11" t="n">
        <f aca="false">IFERROR(H70/C70,0)</f>
        <v>665.39362745098</v>
      </c>
      <c r="R70" s="10" t="n">
        <f aca="false">IFERROR(I70/F70,0)</f>
        <v>0.711520852409889</v>
      </c>
      <c r="S70" s="10" t="n">
        <f aca="false">IFERROR(K70/J70,0)</f>
        <v>0.641203858619272</v>
      </c>
      <c r="T70" s="12" t="s">
        <v>30</v>
      </c>
    </row>
    <row r="71" customFormat="false" ht="15" hidden="false" customHeight="false" outlineLevel="0" collapsed="false">
      <c r="A71" s="3" t="s">
        <v>104</v>
      </c>
      <c r="B71" s="3" t="s">
        <v>22</v>
      </c>
      <c r="C71" s="3" t="n">
        <v>2682</v>
      </c>
      <c r="D71" s="3" t="n">
        <v>132</v>
      </c>
      <c r="E71" s="3" t="n">
        <v>926</v>
      </c>
      <c r="F71" s="3" t="n">
        <v>8416</v>
      </c>
      <c r="G71" s="3" t="n">
        <v>15</v>
      </c>
      <c r="H71" s="3" t="n">
        <v>1070135.1</v>
      </c>
      <c r="I71" s="3" t="n">
        <v>949</v>
      </c>
      <c r="J71" s="3" t="n">
        <v>310069</v>
      </c>
      <c r="K71" s="3" t="n">
        <v>44708</v>
      </c>
      <c r="L71" s="3" t="n">
        <v>891</v>
      </c>
      <c r="M71" s="4" t="n">
        <f aca="false">IFERROR(D71/C71,0)</f>
        <v>0.0492170022371365</v>
      </c>
      <c r="N71" s="4" t="n">
        <f aca="false">IFERROR(E71/C71,0)</f>
        <v>0.345264727815063</v>
      </c>
      <c r="O71" s="5" t="n">
        <f aca="false">IFERROR(F71/MAX(C71-D71,1),0)</f>
        <v>3.30039215686275</v>
      </c>
      <c r="P71" s="5" t="n">
        <f aca="false">IFERROR(F71/C71,0)</f>
        <v>3.137956748695</v>
      </c>
      <c r="Q71" s="5" t="n">
        <f aca="false">IFERROR(H71/C71,0)</f>
        <v>399.006375838926</v>
      </c>
      <c r="R71" s="4" t="n">
        <f aca="false">IFERROR(I71/F71,0)</f>
        <v>0.112761406844106</v>
      </c>
      <c r="S71" s="4" t="n">
        <f aca="false">IFERROR(K71/J71,0)</f>
        <v>0.144187261545011</v>
      </c>
      <c r="T71" s="6" t="s">
        <v>23</v>
      </c>
    </row>
    <row r="72" customFormat="false" ht="15" hidden="false" customHeight="false" outlineLevel="0" collapsed="false">
      <c r="A72" s="9" t="s">
        <v>105</v>
      </c>
      <c r="B72" s="9" t="s">
        <v>26</v>
      </c>
      <c r="C72" s="9" t="n">
        <v>2040</v>
      </c>
      <c r="D72" s="9" t="n">
        <v>343</v>
      </c>
      <c r="E72" s="9" t="n">
        <v>1007</v>
      </c>
      <c r="F72" s="9" t="n">
        <v>9837</v>
      </c>
      <c r="G72" s="9" t="n">
        <v>16</v>
      </c>
      <c r="H72" s="9" t="n">
        <v>1714694.6</v>
      </c>
      <c r="I72" s="9" t="n">
        <v>5351</v>
      </c>
      <c r="J72" s="9" t="n">
        <v>322273</v>
      </c>
      <c r="K72" s="9" t="n">
        <v>191827</v>
      </c>
      <c r="L72" s="9" t="n">
        <v>443</v>
      </c>
      <c r="M72" s="10" t="n">
        <f aca="false">IFERROR(D72/C72,0)</f>
        <v>0.168137254901961</v>
      </c>
      <c r="N72" s="10" t="n">
        <f aca="false">IFERROR(E72/C72,0)</f>
        <v>0.493627450980392</v>
      </c>
      <c r="O72" s="11" t="n">
        <f aca="false">IFERROR(F72/MAX(C72-D72,1),0)</f>
        <v>5.79670005892752</v>
      </c>
      <c r="P72" s="11" t="n">
        <f aca="false">IFERROR(F72/C72,0)</f>
        <v>4.82205882352941</v>
      </c>
      <c r="Q72" s="11" t="n">
        <f aca="false">IFERROR(H72/C72,0)</f>
        <v>840.536568627451</v>
      </c>
      <c r="R72" s="10" t="n">
        <f aca="false">IFERROR(I72/F72,0)</f>
        <v>0.543966656500966</v>
      </c>
      <c r="S72" s="10" t="n">
        <f aca="false">IFERROR(K72/J72,0)</f>
        <v>0.595231372159629</v>
      </c>
      <c r="T72" s="12" t="s">
        <v>30</v>
      </c>
    </row>
    <row r="73" customFormat="false" ht="15" hidden="false" customHeight="false" outlineLevel="0" collapsed="false">
      <c r="A73" s="3" t="s">
        <v>106</v>
      </c>
      <c r="B73" s="3" t="s">
        <v>22</v>
      </c>
      <c r="C73" s="3" t="n">
        <v>1644</v>
      </c>
      <c r="D73" s="3" t="n">
        <v>208</v>
      </c>
      <c r="E73" s="3" t="n">
        <v>459</v>
      </c>
      <c r="F73" s="3" t="n">
        <v>6704</v>
      </c>
      <c r="G73" s="3" t="n">
        <v>18</v>
      </c>
      <c r="H73" s="3" t="n">
        <v>862074.5</v>
      </c>
      <c r="I73" s="3" t="n">
        <v>1021</v>
      </c>
      <c r="J73" s="3" t="n">
        <v>283984</v>
      </c>
      <c r="K73" s="3" t="n">
        <v>47649</v>
      </c>
      <c r="L73" s="3" t="n">
        <v>344</v>
      </c>
      <c r="M73" s="4" t="n">
        <f aca="false">IFERROR(D73/C73,0)</f>
        <v>0.126520681265207</v>
      </c>
      <c r="N73" s="4" t="n">
        <f aca="false">IFERROR(E73/C73,0)</f>
        <v>0.279197080291971</v>
      </c>
      <c r="O73" s="5" t="n">
        <f aca="false">IFERROR(F73/MAX(C73-D73,1),0)</f>
        <v>4.66852367688022</v>
      </c>
      <c r="P73" s="5" t="n">
        <f aca="false">IFERROR(F73/C73,0)</f>
        <v>4.07785888077859</v>
      </c>
      <c r="Q73" s="5" t="n">
        <f aca="false">IFERROR(H73/C73,0)</f>
        <v>524.376216545012</v>
      </c>
      <c r="R73" s="4" t="n">
        <f aca="false">IFERROR(I73/F73,0)</f>
        <v>0.152297136038186</v>
      </c>
      <c r="S73" s="4" t="n">
        <f aca="false">IFERROR(K73/J73,0)</f>
        <v>0.16778762183785</v>
      </c>
      <c r="T73" s="6" t="s">
        <v>23</v>
      </c>
    </row>
    <row r="74" customFormat="false" ht="15" hidden="false" customHeight="false" outlineLevel="0" collapsed="false">
      <c r="A74" s="3" t="s">
        <v>107</v>
      </c>
      <c r="B74" s="3" t="s">
        <v>26</v>
      </c>
      <c r="C74" s="3" t="n">
        <v>2038</v>
      </c>
      <c r="D74" s="3" t="n">
        <v>100</v>
      </c>
      <c r="E74" s="3" t="n">
        <v>499</v>
      </c>
      <c r="F74" s="3" t="n">
        <v>6837</v>
      </c>
      <c r="G74" s="3" t="n">
        <v>13</v>
      </c>
      <c r="H74" s="3" t="n">
        <v>677614.3</v>
      </c>
      <c r="I74" s="3" t="n">
        <v>748</v>
      </c>
      <c r="J74" s="3" t="n">
        <v>151031</v>
      </c>
      <c r="K74" s="3" t="n">
        <v>22653</v>
      </c>
      <c r="L74" s="3" t="n">
        <v>605</v>
      </c>
      <c r="M74" s="4" t="n">
        <f aca="false">IFERROR(D74/C74,0)</f>
        <v>0.0490677134445535</v>
      </c>
      <c r="N74" s="4" t="n">
        <f aca="false">IFERROR(E74/C74,0)</f>
        <v>0.244847890088322</v>
      </c>
      <c r="O74" s="5" t="n">
        <f aca="false">IFERROR(F74/MAX(C74-D74,1),0)</f>
        <v>3.52786377708978</v>
      </c>
      <c r="P74" s="5" t="n">
        <f aca="false">IFERROR(F74/C74,0)</f>
        <v>3.35475956820412</v>
      </c>
      <c r="Q74" s="5" t="n">
        <f aca="false">IFERROR(H74/C74,0)</f>
        <v>332.489842983317</v>
      </c>
      <c r="R74" s="4" t="n">
        <f aca="false">IFERROR(I74/F74,0)</f>
        <v>0.109404709667983</v>
      </c>
      <c r="S74" s="4" t="n">
        <f aca="false">IFERROR(K74/J74,0)</f>
        <v>0.149989075090544</v>
      </c>
      <c r="T74" s="6" t="s">
        <v>23</v>
      </c>
    </row>
    <row r="75" customFormat="false" ht="15" hidden="false" customHeight="false" outlineLevel="0" collapsed="false">
      <c r="A75" s="3" t="s">
        <v>108</v>
      </c>
      <c r="B75" s="3" t="s">
        <v>22</v>
      </c>
      <c r="C75" s="3" t="n">
        <v>3692</v>
      </c>
      <c r="D75" s="3" t="n">
        <v>189</v>
      </c>
      <c r="E75" s="3" t="n">
        <v>1083</v>
      </c>
      <c r="F75" s="3" t="n">
        <v>8182</v>
      </c>
      <c r="G75" s="3" t="n">
        <v>11</v>
      </c>
      <c r="H75" s="3" t="n">
        <v>453465.3</v>
      </c>
      <c r="I75" s="3" t="n">
        <v>1032</v>
      </c>
      <c r="J75" s="3" t="n">
        <v>464443</v>
      </c>
      <c r="K75" s="3" t="n">
        <v>79540</v>
      </c>
      <c r="L75" s="3" t="n">
        <v>714</v>
      </c>
      <c r="M75" s="4" t="n">
        <f aca="false">IFERROR(D75/C75,0)</f>
        <v>0.0511917659804984</v>
      </c>
      <c r="N75" s="4" t="n">
        <f aca="false">IFERROR(E75/C75,0)</f>
        <v>0.293336944745395</v>
      </c>
      <c r="O75" s="5" t="n">
        <f aca="false">IFERROR(F75/MAX(C75-D75,1),0)</f>
        <v>2.33571224664573</v>
      </c>
      <c r="P75" s="5" t="n">
        <f aca="false">IFERROR(F75/C75,0)</f>
        <v>2.21614301191766</v>
      </c>
      <c r="Q75" s="5" t="n">
        <f aca="false">IFERROR(H75/C75,0)</f>
        <v>122.823754062839</v>
      </c>
      <c r="R75" s="4" t="n">
        <f aca="false">IFERROR(I75/F75,0)</f>
        <v>0.126130530432657</v>
      </c>
      <c r="S75" s="4" t="n">
        <f aca="false">IFERROR(K75/J75,0)</f>
        <v>0.171258905829133</v>
      </c>
      <c r="T75" s="6" t="s">
        <v>23</v>
      </c>
    </row>
    <row r="76" customFormat="false" ht="15" hidden="false" customHeight="false" outlineLevel="0" collapsed="false">
      <c r="A76" s="3" t="s">
        <v>109</v>
      </c>
      <c r="B76" s="3" t="s">
        <v>29</v>
      </c>
      <c r="C76" s="3" t="n">
        <v>507</v>
      </c>
      <c r="D76" s="3" t="n">
        <v>27</v>
      </c>
      <c r="E76" s="3" t="n">
        <v>170</v>
      </c>
      <c r="F76" s="3" t="n">
        <v>970</v>
      </c>
      <c r="G76" s="3" t="n">
        <v>10</v>
      </c>
      <c r="H76" s="3" t="n">
        <v>235788.1</v>
      </c>
      <c r="I76" s="3" t="n">
        <v>209</v>
      </c>
      <c r="J76" s="3" t="n">
        <v>82190</v>
      </c>
      <c r="K76" s="3" t="n">
        <v>18729</v>
      </c>
      <c r="L76" s="3" t="n">
        <v>0</v>
      </c>
      <c r="M76" s="4" t="n">
        <f aca="false">IFERROR(D76/C76,0)</f>
        <v>0.0532544378698225</v>
      </c>
      <c r="N76" s="4" t="n">
        <f aca="false">IFERROR(E76/C76,0)</f>
        <v>0.335305719921105</v>
      </c>
      <c r="O76" s="5" t="n">
        <f aca="false">IFERROR(F76/MAX(C76-D76,1),0)</f>
        <v>2.02083333333333</v>
      </c>
      <c r="P76" s="5" t="n">
        <f aca="false">IFERROR(F76/C76,0)</f>
        <v>1.91321499013807</v>
      </c>
      <c r="Q76" s="5" t="n">
        <f aca="false">IFERROR(H76/C76,0)</f>
        <v>465.065285996055</v>
      </c>
      <c r="R76" s="4" t="n">
        <f aca="false">IFERROR(I76/F76,0)</f>
        <v>0.215463917525773</v>
      </c>
      <c r="S76" s="4" t="n">
        <f aca="false">IFERROR(K76/J76,0)</f>
        <v>0.227874437279474</v>
      </c>
      <c r="T76" s="6" t="s">
        <v>23</v>
      </c>
    </row>
    <row r="77" customFormat="false" ht="15" hidden="false" customHeight="false" outlineLevel="0" collapsed="false">
      <c r="A77" s="3" t="s">
        <v>110</v>
      </c>
      <c r="B77" s="3" t="s">
        <v>22</v>
      </c>
      <c r="C77" s="3" t="n">
        <v>3711</v>
      </c>
      <c r="D77" s="3" t="n">
        <v>320</v>
      </c>
      <c r="E77" s="3" t="n">
        <v>1448</v>
      </c>
      <c r="F77" s="3" t="n">
        <v>9756</v>
      </c>
      <c r="G77" s="3" t="n">
        <v>10</v>
      </c>
      <c r="H77" s="3" t="n">
        <v>2007208.4</v>
      </c>
      <c r="I77" s="3" t="n">
        <v>2188</v>
      </c>
      <c r="J77" s="3" t="n">
        <v>304332</v>
      </c>
      <c r="K77" s="3" t="n">
        <v>44872</v>
      </c>
      <c r="L77" s="3" t="n">
        <v>1179</v>
      </c>
      <c r="M77" s="4" t="n">
        <f aca="false">IFERROR(D77/C77,0)</f>
        <v>0.0862301266504985</v>
      </c>
      <c r="N77" s="4" t="n">
        <f aca="false">IFERROR(E77/C77,0)</f>
        <v>0.390191323093506</v>
      </c>
      <c r="O77" s="5" t="n">
        <f aca="false">IFERROR(F77/MAX(C77-D77,1),0)</f>
        <v>2.87702742553819</v>
      </c>
      <c r="P77" s="5" t="n">
        <f aca="false">IFERROR(F77/C77,0)</f>
        <v>2.62894098625707</v>
      </c>
      <c r="Q77" s="5" t="n">
        <f aca="false">IFERROR(H77/C77,0)</f>
        <v>540.880732956077</v>
      </c>
      <c r="R77" s="4" t="n">
        <f aca="false">IFERROR(I77/F77,0)</f>
        <v>0.224272242722427</v>
      </c>
      <c r="S77" s="4" t="n">
        <f aca="false">IFERROR(K77/J77,0)</f>
        <v>0.147444238528975</v>
      </c>
      <c r="T77" s="6" t="s">
        <v>23</v>
      </c>
    </row>
    <row r="78" customFormat="false" ht="15" hidden="false" customHeight="false" outlineLevel="0" collapsed="false">
      <c r="A78" s="9" t="s">
        <v>111</v>
      </c>
      <c r="B78" s="9" t="s">
        <v>29</v>
      </c>
      <c r="C78" s="9" t="n">
        <v>2474</v>
      </c>
      <c r="D78" s="9" t="n">
        <v>585</v>
      </c>
      <c r="E78" s="9" t="n">
        <v>1328</v>
      </c>
      <c r="F78" s="9" t="n">
        <v>20089</v>
      </c>
      <c r="G78" s="9" t="n">
        <v>25</v>
      </c>
      <c r="H78" s="9" t="n">
        <v>1968872.2</v>
      </c>
      <c r="I78" s="9" t="n">
        <v>13478</v>
      </c>
      <c r="J78" s="9" t="n">
        <v>361723</v>
      </c>
      <c r="K78" s="9" t="n">
        <v>243522</v>
      </c>
      <c r="L78" s="9" t="n">
        <v>0</v>
      </c>
      <c r="M78" s="10" t="n">
        <f aca="false">IFERROR(D78/C78,0)</f>
        <v>0.236459175424414</v>
      </c>
      <c r="N78" s="10" t="n">
        <f aca="false">IFERROR(E78/C78,0)</f>
        <v>0.536782538399353</v>
      </c>
      <c r="O78" s="11" t="n">
        <f aca="false">IFERROR(F78/MAX(C78-D78,1),0)</f>
        <v>10.6347273689783</v>
      </c>
      <c r="P78" s="11" t="n">
        <f aca="false">IFERROR(F78/C78,0)</f>
        <v>8.12004850444624</v>
      </c>
      <c r="Q78" s="11" t="n">
        <f aca="false">IFERROR(H78/C78,0)</f>
        <v>795.825464834276</v>
      </c>
      <c r="R78" s="10" t="n">
        <f aca="false">IFERROR(I78/F78,0)</f>
        <v>0.670914430783016</v>
      </c>
      <c r="S78" s="10" t="n">
        <f aca="false">IFERROR(K78/J78,0)</f>
        <v>0.673227856674859</v>
      </c>
      <c r="T78" s="12" t="s">
        <v>30</v>
      </c>
    </row>
    <row r="79" customFormat="false" ht="15" hidden="false" customHeight="false" outlineLevel="0" collapsed="false">
      <c r="A79" s="3" t="s">
        <v>112</v>
      </c>
      <c r="B79" s="3" t="s">
        <v>22</v>
      </c>
      <c r="C79" s="3" t="n">
        <v>761</v>
      </c>
      <c r="D79" s="3" t="n">
        <v>111</v>
      </c>
      <c r="E79" s="3" t="n">
        <v>371</v>
      </c>
      <c r="F79" s="3" t="n">
        <v>2485</v>
      </c>
      <c r="G79" s="3" t="n">
        <v>16</v>
      </c>
      <c r="H79" s="3" t="n">
        <v>465520.8</v>
      </c>
      <c r="I79" s="3" t="n">
        <v>436</v>
      </c>
      <c r="J79" s="3" t="n">
        <v>121629</v>
      </c>
      <c r="K79" s="3" t="n">
        <v>20702</v>
      </c>
      <c r="L79" s="3" t="n">
        <v>184</v>
      </c>
      <c r="M79" s="4" t="n">
        <f aca="false">IFERROR(D79/C79,0)</f>
        <v>0.145860709592641</v>
      </c>
      <c r="N79" s="4" t="n">
        <f aca="false">IFERROR(E79/C79,0)</f>
        <v>0.487516425755585</v>
      </c>
      <c r="O79" s="5" t="n">
        <f aca="false">IFERROR(F79/MAX(C79-D79,1),0)</f>
        <v>3.82307692307692</v>
      </c>
      <c r="P79" s="5" t="n">
        <f aca="false">IFERROR(F79/C79,0)</f>
        <v>3.26544021024967</v>
      </c>
      <c r="Q79" s="5" t="n">
        <f aca="false">IFERROR(H79/C79,0)</f>
        <v>611.72247043364</v>
      </c>
      <c r="R79" s="4" t="n">
        <f aca="false">IFERROR(I79/F79,0)</f>
        <v>0.175452716297787</v>
      </c>
      <c r="S79" s="4" t="n">
        <f aca="false">IFERROR(K79/J79,0)</f>
        <v>0.170206118606582</v>
      </c>
      <c r="T79" s="6" t="s">
        <v>23</v>
      </c>
    </row>
    <row r="80" customFormat="false" ht="15" hidden="false" customHeight="false" outlineLevel="0" collapsed="false">
      <c r="A80" s="3" t="s">
        <v>113</v>
      </c>
      <c r="B80" s="3" t="s">
        <v>22</v>
      </c>
      <c r="C80" s="3" t="n">
        <v>3751</v>
      </c>
      <c r="D80" s="3" t="n">
        <v>352</v>
      </c>
      <c r="E80" s="3" t="n">
        <v>1482</v>
      </c>
      <c r="F80" s="3" t="n">
        <v>3361</v>
      </c>
      <c r="G80" s="3" t="n">
        <v>5</v>
      </c>
      <c r="H80" s="3" t="n">
        <v>1541232.2</v>
      </c>
      <c r="I80" s="3" t="n">
        <v>581</v>
      </c>
      <c r="J80" s="3" t="n">
        <v>503474</v>
      </c>
      <c r="K80" s="3" t="n">
        <v>25174</v>
      </c>
      <c r="L80" s="3" t="n">
        <v>695</v>
      </c>
      <c r="M80" s="4" t="n">
        <f aca="false">IFERROR(D80/C80,0)</f>
        <v>0.093841642228739</v>
      </c>
      <c r="N80" s="4" t="n">
        <f aca="false">IFERROR(E80/C80,0)</f>
        <v>0.395094641428952</v>
      </c>
      <c r="O80" s="5" t="n">
        <f aca="false">IFERROR(F80/MAX(C80-D80,1),0)</f>
        <v>0.988820241247426</v>
      </c>
      <c r="P80" s="5" t="n">
        <f aca="false">IFERROR(F80/C80,0)</f>
        <v>0.896027725939749</v>
      </c>
      <c r="Q80" s="5" t="n">
        <f aca="false">IFERROR(H80/C80,0)</f>
        <v>410.885683817649</v>
      </c>
      <c r="R80" s="4" t="n">
        <f aca="false">IFERROR(I80/F80,0)</f>
        <v>0.172865218684915</v>
      </c>
      <c r="S80" s="4" t="n">
        <f aca="false">IFERROR(K80/J80,0)</f>
        <v>0.050000595859965</v>
      </c>
      <c r="T80" s="6" t="s">
        <v>23</v>
      </c>
    </row>
    <row r="81" customFormat="false" ht="15" hidden="false" customHeight="false" outlineLevel="0" collapsed="false">
      <c r="A81" s="3" t="s">
        <v>114</v>
      </c>
      <c r="B81" s="3" t="s">
        <v>26</v>
      </c>
      <c r="C81" s="3" t="n">
        <v>3744</v>
      </c>
      <c r="D81" s="3" t="n">
        <v>462</v>
      </c>
      <c r="E81" s="3" t="n">
        <v>1132</v>
      </c>
      <c r="F81" s="3" t="n">
        <v>6909</v>
      </c>
      <c r="G81" s="3" t="n">
        <v>8</v>
      </c>
      <c r="H81" s="3" t="n">
        <v>1604250.3</v>
      </c>
      <c r="I81" s="3" t="n">
        <v>1178</v>
      </c>
      <c r="J81" s="3" t="n">
        <v>545780</v>
      </c>
      <c r="K81" s="3" t="n">
        <v>82311</v>
      </c>
      <c r="L81" s="3" t="n">
        <v>1446</v>
      </c>
      <c r="M81" s="4" t="n">
        <f aca="false">IFERROR(D81/C81,0)</f>
        <v>0.123397435897436</v>
      </c>
      <c r="N81" s="4" t="n">
        <f aca="false">IFERROR(E81/C81,0)</f>
        <v>0.302350427350427</v>
      </c>
      <c r="O81" s="5" t="n">
        <f aca="false">IFERROR(F81/MAX(C81-D81,1),0)</f>
        <v>2.10511882998172</v>
      </c>
      <c r="P81" s="5" t="n">
        <f aca="false">IFERROR(F81/C81,0)</f>
        <v>1.84535256410256</v>
      </c>
      <c r="Q81" s="5" t="n">
        <f aca="false">IFERROR(H81/C81,0)</f>
        <v>428.485657051282</v>
      </c>
      <c r="R81" s="4" t="n">
        <f aca="false">IFERROR(I81/F81,0)</f>
        <v>0.170502243450572</v>
      </c>
      <c r="S81" s="4" t="n">
        <f aca="false">IFERROR(K81/J81,0)</f>
        <v>0.150813514602954</v>
      </c>
      <c r="T81" s="6" t="s">
        <v>23</v>
      </c>
    </row>
    <row r="82" customFormat="false" ht="15" hidden="false" customHeight="false" outlineLevel="0" collapsed="false">
      <c r="A82" s="9" t="s">
        <v>115</v>
      </c>
      <c r="B82" s="9" t="s">
        <v>26</v>
      </c>
      <c r="C82" s="9" t="n">
        <v>735</v>
      </c>
      <c r="D82" s="9" t="n">
        <v>115</v>
      </c>
      <c r="E82" s="9" t="n">
        <v>276</v>
      </c>
      <c r="F82" s="9" t="n">
        <v>6635</v>
      </c>
      <c r="G82" s="9" t="n">
        <v>30</v>
      </c>
      <c r="H82" s="9" t="n">
        <v>642864.3</v>
      </c>
      <c r="I82" s="9" t="n">
        <v>3606</v>
      </c>
      <c r="J82" s="9" t="n">
        <v>99365</v>
      </c>
      <c r="K82" s="9" t="n">
        <v>52292</v>
      </c>
      <c r="L82" s="9" t="n">
        <v>136</v>
      </c>
      <c r="M82" s="10" t="n">
        <f aca="false">IFERROR(D82/C82,0)</f>
        <v>0.156462585034014</v>
      </c>
      <c r="N82" s="10" t="n">
        <f aca="false">IFERROR(E82/C82,0)</f>
        <v>0.375510204081633</v>
      </c>
      <c r="O82" s="11" t="n">
        <f aca="false">IFERROR(F82/MAX(C82-D82,1),0)</f>
        <v>10.7016129032258</v>
      </c>
      <c r="P82" s="11" t="n">
        <f aca="false">IFERROR(F82/C82,0)</f>
        <v>9.02721088435374</v>
      </c>
      <c r="Q82" s="11" t="n">
        <f aca="false">IFERROR(H82/C82,0)</f>
        <v>874.645306122449</v>
      </c>
      <c r="R82" s="10" t="n">
        <f aca="false">IFERROR(I82/F82,0)</f>
        <v>0.543481537302185</v>
      </c>
      <c r="S82" s="10" t="n">
        <f aca="false">IFERROR(K82/J82,0)</f>
        <v>0.526261762189906</v>
      </c>
      <c r="T82" s="12" t="s">
        <v>30</v>
      </c>
    </row>
    <row r="83" customFormat="false" ht="15" hidden="false" customHeight="false" outlineLevel="0" collapsed="false">
      <c r="A83" s="3" t="s">
        <v>116</v>
      </c>
      <c r="B83" s="3" t="s">
        <v>22</v>
      </c>
      <c r="C83" s="3" t="n">
        <v>1363</v>
      </c>
      <c r="D83" s="3" t="n">
        <v>154</v>
      </c>
      <c r="E83" s="3" t="n">
        <v>570</v>
      </c>
      <c r="F83" s="3" t="n">
        <v>3076</v>
      </c>
      <c r="G83" s="3" t="n">
        <v>13</v>
      </c>
      <c r="H83" s="3" t="n">
        <v>532415</v>
      </c>
      <c r="I83" s="3" t="n">
        <v>584</v>
      </c>
      <c r="J83" s="3" t="n">
        <v>223860</v>
      </c>
      <c r="K83" s="3" t="n">
        <v>38428</v>
      </c>
      <c r="L83" s="3" t="n">
        <v>605</v>
      </c>
      <c r="M83" s="4" t="n">
        <f aca="false">IFERROR(D83/C83,0)</f>
        <v>0.112986060161409</v>
      </c>
      <c r="N83" s="4" t="n">
        <f aca="false">IFERROR(E83/C83,0)</f>
        <v>0.418195157740279</v>
      </c>
      <c r="O83" s="5" t="n">
        <f aca="false">IFERROR(F83/MAX(C83-D83,1),0)</f>
        <v>2.54425144747725</v>
      </c>
      <c r="P83" s="5" t="n">
        <f aca="false">IFERROR(F83/C83,0)</f>
        <v>2.25678650036684</v>
      </c>
      <c r="Q83" s="5" t="n">
        <f aca="false">IFERROR(H83/C83,0)</f>
        <v>390.619955979457</v>
      </c>
      <c r="R83" s="4" t="n">
        <f aca="false">IFERROR(I83/F83,0)</f>
        <v>0.189856957087126</v>
      </c>
      <c r="S83" s="4" t="n">
        <f aca="false">IFERROR(K83/J83,0)</f>
        <v>0.171660859465738</v>
      </c>
      <c r="T83" s="6" t="s">
        <v>23</v>
      </c>
    </row>
    <row r="84" customFormat="false" ht="15" hidden="false" customHeight="false" outlineLevel="0" collapsed="false">
      <c r="A84" s="9" t="s">
        <v>117</v>
      </c>
      <c r="B84" s="9" t="s">
        <v>22</v>
      </c>
      <c r="C84" s="9" t="n">
        <v>1966</v>
      </c>
      <c r="D84" s="9" t="n">
        <v>310</v>
      </c>
      <c r="E84" s="9" t="n">
        <v>678</v>
      </c>
      <c r="F84" s="9" t="n">
        <v>12088</v>
      </c>
      <c r="G84" s="9" t="n">
        <v>17</v>
      </c>
      <c r="H84" s="9" t="n">
        <v>1861076.6</v>
      </c>
      <c r="I84" s="9" t="n">
        <v>5852</v>
      </c>
      <c r="J84" s="9" t="n">
        <v>234867</v>
      </c>
      <c r="K84" s="9" t="n">
        <v>224628</v>
      </c>
      <c r="L84" s="9" t="n">
        <v>352</v>
      </c>
      <c r="M84" s="10" t="n">
        <f aca="false">IFERROR(D84/C84,0)</f>
        <v>0.157680569684639</v>
      </c>
      <c r="N84" s="10" t="n">
        <f aca="false">IFERROR(E84/C84,0)</f>
        <v>0.344862665310275</v>
      </c>
      <c r="O84" s="11" t="n">
        <f aca="false">IFERROR(F84/MAX(C84-D84,1),0)</f>
        <v>7.29951690821256</v>
      </c>
      <c r="P84" s="11" t="n">
        <f aca="false">IFERROR(F84/C84,0)</f>
        <v>6.14852492370295</v>
      </c>
      <c r="Q84" s="11" t="n">
        <f aca="false">IFERROR(H84/C84,0)</f>
        <v>946.631027466938</v>
      </c>
      <c r="R84" s="10" t="n">
        <f aca="false">IFERROR(I84/F84,0)</f>
        <v>0.484116479152879</v>
      </c>
      <c r="S84" s="10" t="n">
        <f aca="false">IFERROR(K84/J84,0)</f>
        <v>0.956405114383885</v>
      </c>
      <c r="T84" s="12" t="s">
        <v>30</v>
      </c>
    </row>
    <row r="85" customFormat="false" ht="15" hidden="false" customHeight="false" outlineLevel="0" collapsed="false">
      <c r="A85" s="3" t="s">
        <v>118</v>
      </c>
      <c r="B85" s="3" t="s">
        <v>26</v>
      </c>
      <c r="C85" s="3" t="n">
        <v>1954</v>
      </c>
      <c r="D85" s="3" t="n">
        <v>106</v>
      </c>
      <c r="E85" s="3" t="n">
        <v>575</v>
      </c>
      <c r="F85" s="3" t="n">
        <v>3306</v>
      </c>
      <c r="G85" s="3" t="n">
        <v>1</v>
      </c>
      <c r="H85" s="3" t="n">
        <v>355225.4</v>
      </c>
      <c r="I85" s="3" t="n">
        <v>572</v>
      </c>
      <c r="J85" s="3" t="n">
        <v>262332</v>
      </c>
      <c r="K85" s="3" t="n">
        <v>37507</v>
      </c>
      <c r="L85" s="3" t="n">
        <v>178</v>
      </c>
      <c r="M85" s="4" t="n">
        <f aca="false">IFERROR(D85/C85,0)</f>
        <v>0.0542476970317298</v>
      </c>
      <c r="N85" s="4" t="n">
        <f aca="false">IFERROR(E85/C85,0)</f>
        <v>0.294268167860798</v>
      </c>
      <c r="O85" s="5" t="n">
        <f aca="false">IFERROR(F85/MAX(C85-D85,1),0)</f>
        <v>1.78896103896104</v>
      </c>
      <c r="P85" s="5" t="n">
        <f aca="false">IFERROR(F85/C85,0)</f>
        <v>1.69191402251791</v>
      </c>
      <c r="Q85" s="5" t="n">
        <f aca="false">IFERROR(H85/C85,0)</f>
        <v>181.793961105425</v>
      </c>
      <c r="R85" s="4" t="n">
        <f aca="false">IFERROR(I85/F85,0)</f>
        <v>0.173018753781004</v>
      </c>
      <c r="S85" s="4" t="n">
        <f aca="false">IFERROR(K85/J85,0)</f>
        <v>0.142975313724593</v>
      </c>
      <c r="T85" s="6" t="s">
        <v>23</v>
      </c>
    </row>
    <row r="86" customFormat="false" ht="15" hidden="false" customHeight="false" outlineLevel="0" collapsed="false">
      <c r="A86" s="3" t="s">
        <v>119</v>
      </c>
      <c r="B86" s="3" t="s">
        <v>26</v>
      </c>
      <c r="C86" s="3" t="n">
        <v>3907</v>
      </c>
      <c r="D86" s="3" t="n">
        <v>465</v>
      </c>
      <c r="E86" s="3" t="n">
        <v>1243</v>
      </c>
      <c r="F86" s="3" t="n">
        <v>14144</v>
      </c>
      <c r="G86" s="3" t="n">
        <v>16</v>
      </c>
      <c r="H86" s="3" t="n">
        <v>1813607.3</v>
      </c>
      <c r="I86" s="3" t="n">
        <v>3547</v>
      </c>
      <c r="J86" s="3" t="n">
        <v>417203</v>
      </c>
      <c r="K86" s="3" t="n">
        <v>70468</v>
      </c>
      <c r="L86" s="3" t="n">
        <v>1295</v>
      </c>
      <c r="M86" s="4" t="n">
        <f aca="false">IFERROR(D86/C86,0)</f>
        <v>0.119017148707448</v>
      </c>
      <c r="N86" s="4" t="n">
        <f aca="false">IFERROR(E86/C86,0)</f>
        <v>0.318146915792168</v>
      </c>
      <c r="O86" s="5" t="n">
        <f aca="false">IFERROR(F86/MAX(C86-D86,1),0)</f>
        <v>4.10923881464265</v>
      </c>
      <c r="P86" s="5" t="n">
        <f aca="false">IFERROR(F86/C86,0)</f>
        <v>3.62016892756591</v>
      </c>
      <c r="Q86" s="5" t="n">
        <f aca="false">IFERROR(H86/C86,0)</f>
        <v>464.194343486051</v>
      </c>
      <c r="R86" s="4" t="n">
        <f aca="false">IFERROR(I86/F86,0)</f>
        <v>0.250777714932127</v>
      </c>
      <c r="S86" s="4" t="n">
        <f aca="false">IFERROR(K86/J86,0)</f>
        <v>0.168905784474225</v>
      </c>
      <c r="T86" s="6" t="s">
        <v>23</v>
      </c>
    </row>
    <row r="87" customFormat="false" ht="15" hidden="false" customHeight="false" outlineLevel="0" collapsed="false">
      <c r="A87" s="3" t="s">
        <v>120</v>
      </c>
      <c r="B87" s="3" t="s">
        <v>29</v>
      </c>
      <c r="C87" s="3" t="n">
        <v>674</v>
      </c>
      <c r="D87" s="3" t="n">
        <v>37</v>
      </c>
      <c r="E87" s="3" t="n">
        <v>261</v>
      </c>
      <c r="F87" s="3" t="n">
        <v>1375</v>
      </c>
      <c r="G87" s="3" t="n">
        <v>9</v>
      </c>
      <c r="H87" s="3" t="n">
        <v>258112</v>
      </c>
      <c r="I87" s="3" t="n">
        <v>318</v>
      </c>
      <c r="J87" s="3" t="n">
        <v>102233</v>
      </c>
      <c r="K87" s="3" t="n">
        <v>22140</v>
      </c>
      <c r="L87" s="3" t="n">
        <v>0</v>
      </c>
      <c r="M87" s="4" t="n">
        <f aca="false">IFERROR(D87/C87,0)</f>
        <v>0.0548961424332344</v>
      </c>
      <c r="N87" s="4" t="n">
        <f aca="false">IFERROR(E87/C87,0)</f>
        <v>0.387240356083086</v>
      </c>
      <c r="O87" s="5" t="n">
        <f aca="false">IFERROR(F87/MAX(C87-D87,1),0)</f>
        <v>2.1585557299843</v>
      </c>
      <c r="P87" s="5" t="n">
        <f aca="false">IFERROR(F87/C87,0)</f>
        <v>2.04005934718101</v>
      </c>
      <c r="Q87" s="5" t="n">
        <f aca="false">IFERROR(H87/C87,0)</f>
        <v>382.955489614243</v>
      </c>
      <c r="R87" s="4" t="n">
        <f aca="false">IFERROR(I87/F87,0)</f>
        <v>0.231272727272727</v>
      </c>
      <c r="S87" s="4" t="n">
        <f aca="false">IFERROR(K87/J87,0)</f>
        <v>0.216564123130496</v>
      </c>
      <c r="T87" s="6" t="s">
        <v>23</v>
      </c>
    </row>
    <row r="88" customFormat="false" ht="15" hidden="false" customHeight="false" outlineLevel="0" collapsed="false">
      <c r="A88" s="3" t="s">
        <v>121</v>
      </c>
      <c r="B88" s="3" t="s">
        <v>29</v>
      </c>
      <c r="C88" s="3" t="n">
        <v>1474</v>
      </c>
      <c r="D88" s="3" t="n">
        <v>220</v>
      </c>
      <c r="E88" s="3" t="n">
        <v>496</v>
      </c>
      <c r="F88" s="3" t="n">
        <v>3783</v>
      </c>
      <c r="G88" s="3" t="n">
        <v>10</v>
      </c>
      <c r="H88" s="3" t="n">
        <v>531774.4</v>
      </c>
      <c r="I88" s="3" t="n">
        <v>722</v>
      </c>
      <c r="J88" s="3" t="n">
        <v>215557</v>
      </c>
      <c r="K88" s="3" t="n">
        <v>50795</v>
      </c>
      <c r="L88" s="3" t="n">
        <v>0</v>
      </c>
      <c r="M88" s="4" t="n">
        <f aca="false">IFERROR(D88/C88,0)</f>
        <v>0.149253731343284</v>
      </c>
      <c r="N88" s="4" t="n">
        <f aca="false">IFERROR(E88/C88,0)</f>
        <v>0.336499321573948</v>
      </c>
      <c r="O88" s="5" t="n">
        <f aca="false">IFERROR(F88/MAX(C88-D88,1),0)</f>
        <v>3.01674641148325</v>
      </c>
      <c r="P88" s="5" t="n">
        <f aca="false">IFERROR(F88/C88,0)</f>
        <v>2.56648575305292</v>
      </c>
      <c r="Q88" s="5" t="n">
        <f aca="false">IFERROR(H88/C88,0)</f>
        <v>360.76960651289</v>
      </c>
      <c r="R88" s="4" t="n">
        <f aca="false">IFERROR(I88/F88,0)</f>
        <v>0.190853819719799</v>
      </c>
      <c r="S88" s="4" t="n">
        <f aca="false">IFERROR(K88/J88,0)</f>
        <v>0.235645328149863</v>
      </c>
      <c r="T88" s="6" t="s">
        <v>23</v>
      </c>
    </row>
    <row r="89" customFormat="false" ht="15" hidden="false" customHeight="false" outlineLevel="0" collapsed="false">
      <c r="A89" s="9" t="s">
        <v>122</v>
      </c>
      <c r="B89" s="9" t="s">
        <v>26</v>
      </c>
      <c r="C89" s="9" t="n">
        <v>2415</v>
      </c>
      <c r="D89" s="9" t="n">
        <v>654</v>
      </c>
      <c r="E89" s="9" t="n">
        <v>1444</v>
      </c>
      <c r="F89" s="9" t="n">
        <v>19833</v>
      </c>
      <c r="G89" s="9" t="n">
        <v>28</v>
      </c>
      <c r="H89" s="9" t="n">
        <v>2126482.6</v>
      </c>
      <c r="I89" s="9" t="n">
        <v>11134</v>
      </c>
      <c r="J89" s="9" t="n">
        <v>280361</v>
      </c>
      <c r="K89" s="9" t="n">
        <v>232151</v>
      </c>
      <c r="L89" s="9" t="n">
        <v>1215</v>
      </c>
      <c r="M89" s="10" t="n">
        <f aca="false">IFERROR(D89/C89,0)</f>
        <v>0.270807453416149</v>
      </c>
      <c r="N89" s="10" t="n">
        <f aca="false">IFERROR(E89/C89,0)</f>
        <v>0.597929606625259</v>
      </c>
      <c r="O89" s="11" t="n">
        <f aca="false">IFERROR(F89/MAX(C89-D89,1),0)</f>
        <v>11.2623509369676</v>
      </c>
      <c r="P89" s="11" t="n">
        <f aca="false">IFERROR(F89/C89,0)</f>
        <v>8.21242236024845</v>
      </c>
      <c r="Q89" s="11" t="n">
        <f aca="false">IFERROR(H89/C89,0)</f>
        <v>880.531097308489</v>
      </c>
      <c r="R89" s="10" t="n">
        <f aca="false">IFERROR(I89/F89,0)</f>
        <v>0.561387586345989</v>
      </c>
      <c r="S89" s="10" t="n">
        <f aca="false">IFERROR(K89/J89,0)</f>
        <v>0.828043130107255</v>
      </c>
      <c r="T89" s="12" t="s">
        <v>30</v>
      </c>
    </row>
    <row r="90" customFormat="false" ht="15" hidden="false" customHeight="false" outlineLevel="0" collapsed="false">
      <c r="A90" s="3" t="s">
        <v>123</v>
      </c>
      <c r="B90" s="3" t="s">
        <v>22</v>
      </c>
      <c r="C90" s="3" t="n">
        <v>339</v>
      </c>
      <c r="D90" s="3" t="n">
        <v>37</v>
      </c>
      <c r="E90" s="3" t="n">
        <v>153</v>
      </c>
      <c r="F90" s="3" t="n">
        <v>847</v>
      </c>
      <c r="G90" s="3" t="n">
        <v>9</v>
      </c>
      <c r="H90" s="3" t="n">
        <v>131269.9</v>
      </c>
      <c r="I90" s="3" t="n">
        <v>111</v>
      </c>
      <c r="J90" s="3" t="n">
        <v>63198</v>
      </c>
      <c r="K90" s="3" t="n">
        <v>9465</v>
      </c>
      <c r="L90" s="3" t="n">
        <v>148</v>
      </c>
      <c r="M90" s="4" t="n">
        <f aca="false">IFERROR(D90/C90,0)</f>
        <v>0.109144542772861</v>
      </c>
      <c r="N90" s="4" t="n">
        <f aca="false">IFERROR(E90/C90,0)</f>
        <v>0.451327433628319</v>
      </c>
      <c r="O90" s="5" t="n">
        <f aca="false">IFERROR(F90/MAX(C90-D90,1),0)</f>
        <v>2.8046357615894</v>
      </c>
      <c r="P90" s="5" t="n">
        <f aca="false">IFERROR(F90/C90,0)</f>
        <v>2.49852507374631</v>
      </c>
      <c r="Q90" s="5" t="n">
        <f aca="false">IFERROR(H90/C90,0)</f>
        <v>387.226843657817</v>
      </c>
      <c r="R90" s="4" t="n">
        <f aca="false">IFERROR(I90/F90,0)</f>
        <v>0.131050767414404</v>
      </c>
      <c r="S90" s="4" t="n">
        <f aca="false">IFERROR(K90/J90,0)</f>
        <v>0.149767397702459</v>
      </c>
      <c r="T90" s="6" t="s">
        <v>23</v>
      </c>
    </row>
    <row r="91" customFormat="false" ht="15" hidden="false" customHeight="false" outlineLevel="0" collapsed="false">
      <c r="A91" s="9" t="s">
        <v>124</v>
      </c>
      <c r="B91" s="9" t="s">
        <v>22</v>
      </c>
      <c r="C91" s="9" t="n">
        <v>2045</v>
      </c>
      <c r="D91" s="9" t="n">
        <v>465</v>
      </c>
      <c r="E91" s="9" t="n">
        <v>1019</v>
      </c>
      <c r="F91" s="9" t="n">
        <v>19404</v>
      </c>
      <c r="G91" s="9" t="n">
        <v>25</v>
      </c>
      <c r="H91" s="9" t="n">
        <v>2684537.8</v>
      </c>
      <c r="I91" s="9" t="n">
        <v>15211</v>
      </c>
      <c r="J91" s="9" t="n">
        <v>156066</v>
      </c>
      <c r="K91" s="9" t="n">
        <v>115567</v>
      </c>
      <c r="L91" s="9" t="n">
        <v>362</v>
      </c>
      <c r="M91" s="10" t="n">
        <f aca="false">IFERROR(D91/C91,0)</f>
        <v>0.227383863080685</v>
      </c>
      <c r="N91" s="10" t="n">
        <f aca="false">IFERROR(E91/C91,0)</f>
        <v>0.498288508557457</v>
      </c>
      <c r="O91" s="11" t="n">
        <f aca="false">IFERROR(F91/MAX(C91-D91,1),0)</f>
        <v>12.2810126582278</v>
      </c>
      <c r="P91" s="11" t="n">
        <f aca="false">IFERROR(F91/C91,0)</f>
        <v>9.48850855745721</v>
      </c>
      <c r="Q91" s="11" t="n">
        <f aca="false">IFERROR(H91/C91,0)</f>
        <v>1312.7324205379</v>
      </c>
      <c r="R91" s="10" t="n">
        <f aca="false">IFERROR(I91/F91,0)</f>
        <v>0.783910533910534</v>
      </c>
      <c r="S91" s="10" t="n">
        <f aca="false">IFERROR(K91/J91,0)</f>
        <v>0.740500813758282</v>
      </c>
      <c r="T91" s="12" t="s">
        <v>30</v>
      </c>
    </row>
    <row r="92" customFormat="false" ht="15" hidden="false" customHeight="false" outlineLevel="0" collapsed="false">
      <c r="A92" s="3" t="s">
        <v>125</v>
      </c>
      <c r="B92" s="3" t="s">
        <v>29</v>
      </c>
      <c r="C92" s="3" t="n">
        <v>2362</v>
      </c>
      <c r="D92" s="3" t="n">
        <v>235</v>
      </c>
      <c r="E92" s="3" t="n">
        <v>738</v>
      </c>
      <c r="F92" s="3" t="n">
        <v>4428</v>
      </c>
      <c r="G92" s="3" t="n">
        <v>8</v>
      </c>
      <c r="H92" s="3" t="n">
        <v>1277779.2</v>
      </c>
      <c r="I92" s="3" t="n">
        <v>991</v>
      </c>
      <c r="J92" s="3" t="n">
        <v>430791</v>
      </c>
      <c r="K92" s="3" t="n">
        <v>104134</v>
      </c>
      <c r="L92" s="3" t="n">
        <v>0</v>
      </c>
      <c r="M92" s="4" t="n">
        <f aca="false">IFERROR(D92/C92,0)</f>
        <v>0.0994919559695174</v>
      </c>
      <c r="N92" s="4" t="n">
        <f aca="false">IFERROR(E92/C92,0)</f>
        <v>0.312447078746825</v>
      </c>
      <c r="O92" s="5" t="n">
        <f aca="false">IFERROR(F92/MAX(C92-D92,1),0)</f>
        <v>2.0818053596615</v>
      </c>
      <c r="P92" s="5" t="n">
        <f aca="false">IFERROR(F92/C92,0)</f>
        <v>1.87468247248095</v>
      </c>
      <c r="Q92" s="5" t="n">
        <f aca="false">IFERROR(H92/C92,0)</f>
        <v>540.973412362405</v>
      </c>
      <c r="R92" s="4" t="n">
        <f aca="false">IFERROR(I92/F92,0)</f>
        <v>0.223803071364047</v>
      </c>
      <c r="S92" s="4" t="n">
        <f aca="false">IFERROR(K92/J92,0)</f>
        <v>0.241727426988958</v>
      </c>
      <c r="T92" s="6" t="s">
        <v>23</v>
      </c>
    </row>
    <row r="93" customFormat="false" ht="15" hidden="false" customHeight="false" outlineLevel="0" collapsed="false">
      <c r="A93" s="3" t="s">
        <v>126</v>
      </c>
      <c r="B93" s="3" t="s">
        <v>22</v>
      </c>
      <c r="C93" s="3" t="n">
        <v>3437</v>
      </c>
      <c r="D93" s="3" t="n">
        <v>496</v>
      </c>
      <c r="E93" s="3" t="n">
        <v>1016</v>
      </c>
      <c r="F93" s="3" t="n">
        <v>12443</v>
      </c>
      <c r="G93" s="3" t="n">
        <v>15</v>
      </c>
      <c r="H93" s="3" t="n">
        <v>2099391.9</v>
      </c>
      <c r="I93" s="3" t="n">
        <v>2577</v>
      </c>
      <c r="J93" s="3" t="n">
        <v>492811</v>
      </c>
      <c r="K93" s="3" t="n">
        <v>110415</v>
      </c>
      <c r="L93" s="3" t="n">
        <v>870</v>
      </c>
      <c r="M93" s="4" t="n">
        <f aca="false">IFERROR(D93/C93,0)</f>
        <v>0.144311899912715</v>
      </c>
      <c r="N93" s="4" t="n">
        <f aca="false">IFERROR(E93/C93,0)</f>
        <v>0.295606633692173</v>
      </c>
      <c r="O93" s="5" t="n">
        <f aca="false">IFERROR(F93/MAX(C93-D93,1),0)</f>
        <v>4.23087385243115</v>
      </c>
      <c r="P93" s="5" t="n">
        <f aca="false">IFERROR(F93/C93,0)</f>
        <v>3.62030840849578</v>
      </c>
      <c r="Q93" s="5" t="n">
        <f aca="false">IFERROR(H93/C93,0)</f>
        <v>610.821035787024</v>
      </c>
      <c r="R93" s="4" t="n">
        <f aca="false">IFERROR(I93/F93,0)</f>
        <v>0.20710439604597</v>
      </c>
      <c r="S93" s="4" t="n">
        <f aca="false">IFERROR(K93/J93,0)</f>
        <v>0.224051411190091</v>
      </c>
      <c r="T93" s="6" t="s">
        <v>23</v>
      </c>
    </row>
    <row r="94" customFormat="false" ht="15" hidden="false" customHeight="false" outlineLevel="0" collapsed="false">
      <c r="A94" s="3" t="s">
        <v>127</v>
      </c>
      <c r="B94" s="3" t="s">
        <v>29</v>
      </c>
      <c r="C94" s="3" t="n">
        <v>2184</v>
      </c>
      <c r="D94" s="3" t="n">
        <v>322</v>
      </c>
      <c r="E94" s="3" t="n">
        <v>879</v>
      </c>
      <c r="F94" s="3" t="n">
        <v>5698</v>
      </c>
      <c r="G94" s="3" t="n">
        <v>11</v>
      </c>
      <c r="H94" s="3" t="n">
        <v>1017613.7</v>
      </c>
      <c r="I94" s="3" t="n">
        <v>905</v>
      </c>
      <c r="J94" s="3" t="n">
        <v>209172</v>
      </c>
      <c r="K94" s="3" t="n">
        <v>47001</v>
      </c>
      <c r="L94" s="3" t="n">
        <v>0</v>
      </c>
      <c r="M94" s="4" t="n">
        <f aca="false">IFERROR(D94/C94,0)</f>
        <v>0.147435897435897</v>
      </c>
      <c r="N94" s="4" t="n">
        <f aca="false">IFERROR(E94/C94,0)</f>
        <v>0.402472527472528</v>
      </c>
      <c r="O94" s="5" t="n">
        <f aca="false">IFERROR(F94/MAX(C94-D94,1),0)</f>
        <v>3.06015037593985</v>
      </c>
      <c r="P94" s="5" t="n">
        <f aca="false">IFERROR(F94/C94,0)</f>
        <v>2.60897435897436</v>
      </c>
      <c r="Q94" s="5" t="n">
        <f aca="false">IFERROR(H94/C94,0)</f>
        <v>465.940338827839</v>
      </c>
      <c r="R94" s="4" t="n">
        <f aca="false">IFERROR(I94/F94,0)</f>
        <v>0.158827658827659</v>
      </c>
      <c r="S94" s="4" t="n">
        <f aca="false">IFERROR(K94/J94,0)</f>
        <v>0.224700246686937</v>
      </c>
      <c r="T94" s="6" t="s">
        <v>23</v>
      </c>
    </row>
    <row r="95" customFormat="false" ht="15" hidden="false" customHeight="false" outlineLevel="0" collapsed="false">
      <c r="A95" s="3" t="s">
        <v>128</v>
      </c>
      <c r="B95" s="3" t="s">
        <v>29</v>
      </c>
      <c r="C95" s="3" t="n">
        <v>3193</v>
      </c>
      <c r="D95" s="3" t="n">
        <v>196</v>
      </c>
      <c r="E95" s="3" t="n">
        <v>893</v>
      </c>
      <c r="F95" s="3" t="n">
        <v>7844</v>
      </c>
      <c r="G95" s="3" t="n">
        <v>11</v>
      </c>
      <c r="H95" s="3" t="n">
        <v>1571443.5</v>
      </c>
      <c r="I95" s="3" t="n">
        <v>1273</v>
      </c>
      <c r="J95" s="3" t="n">
        <v>551326</v>
      </c>
      <c r="K95" s="3" t="n">
        <v>73853</v>
      </c>
      <c r="L95" s="3" t="n">
        <v>0</v>
      </c>
      <c r="M95" s="4" t="n">
        <f aca="false">IFERROR(D95/C95,0)</f>
        <v>0.061384278108362</v>
      </c>
      <c r="N95" s="4" t="n">
        <f aca="false">IFERROR(E95/C95,0)</f>
        <v>0.279674287503915</v>
      </c>
      <c r="O95" s="5" t="n">
        <f aca="false">IFERROR(F95/MAX(C95-D95,1),0)</f>
        <v>2.61728395061728</v>
      </c>
      <c r="P95" s="5" t="n">
        <f aca="false">IFERROR(F95/C95,0)</f>
        <v>2.45662386470404</v>
      </c>
      <c r="Q95" s="5" t="n">
        <f aca="false">IFERROR(H95/C95,0)</f>
        <v>492.15267773254</v>
      </c>
      <c r="R95" s="4" t="n">
        <f aca="false">IFERROR(I95/F95,0)</f>
        <v>0.162289648138705</v>
      </c>
      <c r="S95" s="4" t="n">
        <f aca="false">IFERROR(K95/J95,0)</f>
        <v>0.133955227941363</v>
      </c>
      <c r="T95" s="6" t="s">
        <v>23</v>
      </c>
    </row>
    <row r="96" customFormat="false" ht="15" hidden="false" customHeight="false" outlineLevel="0" collapsed="false">
      <c r="A96" s="3" t="s">
        <v>129</v>
      </c>
      <c r="B96" s="3" t="s">
        <v>29</v>
      </c>
      <c r="C96" s="3" t="n">
        <v>3943</v>
      </c>
      <c r="D96" s="3" t="n">
        <v>219</v>
      </c>
      <c r="E96" s="3" t="n">
        <v>1451</v>
      </c>
      <c r="F96" s="3" t="n">
        <v>4192</v>
      </c>
      <c r="G96" s="3" t="n">
        <v>4</v>
      </c>
      <c r="H96" s="3" t="n">
        <v>1274004.4</v>
      </c>
      <c r="I96" s="3" t="n">
        <v>598</v>
      </c>
      <c r="J96" s="3" t="n">
        <v>418849</v>
      </c>
      <c r="K96" s="3" t="n">
        <v>95309</v>
      </c>
      <c r="L96" s="3" t="n">
        <v>0</v>
      </c>
      <c r="M96" s="4" t="n">
        <f aca="false">IFERROR(D96/C96,0)</f>
        <v>0.0555414658889171</v>
      </c>
      <c r="N96" s="4" t="n">
        <f aca="false">IFERROR(E96/C96,0)</f>
        <v>0.367993913264012</v>
      </c>
      <c r="O96" s="5" t="n">
        <f aca="false">IFERROR(F96/MAX(C96-D96,1),0)</f>
        <v>1.12567132116004</v>
      </c>
      <c r="P96" s="5" t="n">
        <f aca="false">IFERROR(F96/C96,0)</f>
        <v>1.0631498858737</v>
      </c>
      <c r="Q96" s="5" t="n">
        <f aca="false">IFERROR(H96/C96,0)</f>
        <v>323.105351255389</v>
      </c>
      <c r="R96" s="4" t="n">
        <f aca="false">IFERROR(I96/F96,0)</f>
        <v>0.142652671755725</v>
      </c>
      <c r="S96" s="4" t="n">
        <f aca="false">IFERROR(K96/J96,0)</f>
        <v>0.227549785244802</v>
      </c>
      <c r="T96" s="6" t="s">
        <v>23</v>
      </c>
    </row>
    <row r="97" customFormat="false" ht="15" hidden="false" customHeight="false" outlineLevel="0" collapsed="false">
      <c r="A97" s="3" t="s">
        <v>130</v>
      </c>
      <c r="B97" s="3" t="s">
        <v>29</v>
      </c>
      <c r="C97" s="3" t="n">
        <v>2846</v>
      </c>
      <c r="D97" s="3" t="n">
        <v>486</v>
      </c>
      <c r="E97" s="3" t="n">
        <v>1002</v>
      </c>
      <c r="F97" s="3" t="n">
        <v>10814</v>
      </c>
      <c r="G97" s="3" t="n">
        <v>15</v>
      </c>
      <c r="H97" s="3" t="n">
        <v>1043383.5</v>
      </c>
      <c r="I97" s="3" t="n">
        <v>2828</v>
      </c>
      <c r="J97" s="3" t="n">
        <v>393503</v>
      </c>
      <c r="K97" s="3" t="n">
        <v>103594</v>
      </c>
      <c r="L97" s="3" t="n">
        <v>0</v>
      </c>
      <c r="M97" s="4" t="n">
        <f aca="false">IFERROR(D97/C97,0)</f>
        <v>0.170765987350668</v>
      </c>
      <c r="N97" s="4" t="n">
        <f aca="false">IFERROR(E97/C97,0)</f>
        <v>0.352073085031623</v>
      </c>
      <c r="O97" s="5" t="n">
        <f aca="false">IFERROR(F97/MAX(C97-D97,1),0)</f>
        <v>4.58220338983051</v>
      </c>
      <c r="P97" s="5" t="n">
        <f aca="false">IFERROR(F97/C97,0)</f>
        <v>3.79971890372453</v>
      </c>
      <c r="Q97" s="5" t="n">
        <f aca="false">IFERROR(H97/C97,0)</f>
        <v>366.614019676739</v>
      </c>
      <c r="R97" s="4" t="n">
        <f aca="false">IFERROR(I97/F97,0)</f>
        <v>0.261512853708156</v>
      </c>
      <c r="S97" s="4" t="n">
        <f aca="false">IFERROR(K97/J97,0)</f>
        <v>0.263261017069756</v>
      </c>
      <c r="T97" s="6" t="s">
        <v>23</v>
      </c>
    </row>
    <row r="98" customFormat="false" ht="15" hidden="false" customHeight="false" outlineLevel="0" collapsed="false">
      <c r="A98" s="9" t="s">
        <v>131</v>
      </c>
      <c r="B98" s="9" t="s">
        <v>22</v>
      </c>
      <c r="C98" s="9" t="n">
        <v>2245</v>
      </c>
      <c r="D98" s="9" t="n">
        <v>616</v>
      </c>
      <c r="E98" s="9" t="n">
        <v>1391</v>
      </c>
      <c r="F98" s="9" t="n">
        <v>17789</v>
      </c>
      <c r="G98" s="9" t="n">
        <v>27</v>
      </c>
      <c r="H98" s="9" t="n">
        <v>1553385.8</v>
      </c>
      <c r="I98" s="9" t="n">
        <v>10756</v>
      </c>
      <c r="J98" s="9" t="n">
        <v>296724</v>
      </c>
      <c r="K98" s="9" t="n">
        <v>211334</v>
      </c>
      <c r="L98" s="9" t="n">
        <v>646</v>
      </c>
      <c r="M98" s="10" t="n">
        <f aca="false">IFERROR(D98/C98,0)</f>
        <v>0.274387527839644</v>
      </c>
      <c r="N98" s="10" t="n">
        <f aca="false">IFERROR(E98/C98,0)</f>
        <v>0.619599109131403</v>
      </c>
      <c r="O98" s="11" t="n">
        <f aca="false">IFERROR(F98/MAX(C98-D98,1),0)</f>
        <v>10.9201964395335</v>
      </c>
      <c r="P98" s="11" t="n">
        <f aca="false">IFERROR(F98/C98,0)</f>
        <v>7.92383073496659</v>
      </c>
      <c r="Q98" s="11" t="n">
        <f aca="false">IFERROR(H98/C98,0)</f>
        <v>691.931314031181</v>
      </c>
      <c r="R98" s="10" t="n">
        <f aca="false">IFERROR(I98/F98,0)</f>
        <v>0.604643318904941</v>
      </c>
      <c r="S98" s="10" t="n">
        <f aca="false">IFERROR(K98/J98,0)</f>
        <v>0.712224154433076</v>
      </c>
      <c r="T98" s="12" t="s">
        <v>30</v>
      </c>
    </row>
    <row r="99" customFormat="false" ht="15" hidden="false" customHeight="false" outlineLevel="0" collapsed="false">
      <c r="A99" s="3" t="s">
        <v>132</v>
      </c>
      <c r="B99" s="3" t="s">
        <v>22</v>
      </c>
      <c r="C99" s="3" t="n">
        <v>2416</v>
      </c>
      <c r="D99" s="3" t="n">
        <v>107</v>
      </c>
      <c r="E99" s="3" t="n">
        <v>685</v>
      </c>
      <c r="F99" s="3" t="n">
        <v>4839</v>
      </c>
      <c r="G99" s="3" t="n">
        <v>9</v>
      </c>
      <c r="H99" s="3" t="n">
        <v>626865.5</v>
      </c>
      <c r="I99" s="3" t="n">
        <v>926</v>
      </c>
      <c r="J99" s="3" t="n">
        <v>393267</v>
      </c>
      <c r="K99" s="3" t="n">
        <v>48903</v>
      </c>
      <c r="L99" s="3" t="n">
        <v>649</v>
      </c>
      <c r="M99" s="4" t="n">
        <f aca="false">IFERROR(D99/C99,0)</f>
        <v>0.0442880794701987</v>
      </c>
      <c r="N99" s="4" t="n">
        <f aca="false">IFERROR(E99/C99,0)</f>
        <v>0.283526490066225</v>
      </c>
      <c r="O99" s="5" t="n">
        <f aca="false">IFERROR(F99/MAX(C99-D99,1),0)</f>
        <v>2.09571242962321</v>
      </c>
      <c r="P99" s="5" t="n">
        <f aca="false">IFERROR(F99/C99,0)</f>
        <v>2.00289735099338</v>
      </c>
      <c r="Q99" s="5" t="n">
        <f aca="false">IFERROR(H99/C99,0)</f>
        <v>259.464197019868</v>
      </c>
      <c r="R99" s="4" t="n">
        <f aca="false">IFERROR(I99/F99,0)</f>
        <v>0.191361851622236</v>
      </c>
      <c r="S99" s="4" t="n">
        <f aca="false">IFERROR(K99/J99,0)</f>
        <v>0.124350632013365</v>
      </c>
      <c r="T99" s="6" t="s">
        <v>23</v>
      </c>
    </row>
    <row r="100" customFormat="false" ht="15" hidden="false" customHeight="false" outlineLevel="0" collapsed="false">
      <c r="A100" s="9" t="s">
        <v>133</v>
      </c>
      <c r="B100" s="9" t="s">
        <v>29</v>
      </c>
      <c r="C100" s="9" t="n">
        <v>1844</v>
      </c>
      <c r="D100" s="9" t="n">
        <v>298</v>
      </c>
      <c r="E100" s="9" t="n">
        <v>679</v>
      </c>
      <c r="F100" s="9" t="n">
        <v>8815</v>
      </c>
      <c r="G100" s="9" t="n">
        <v>17</v>
      </c>
      <c r="H100" s="9" t="n">
        <v>1621505.3</v>
      </c>
      <c r="I100" s="9" t="n">
        <v>4496</v>
      </c>
      <c r="J100" s="9" t="n">
        <v>227690</v>
      </c>
      <c r="K100" s="9" t="n">
        <v>184313</v>
      </c>
      <c r="L100" s="9" t="n">
        <v>0</v>
      </c>
      <c r="M100" s="10" t="n">
        <f aca="false">IFERROR(D100/C100,0)</f>
        <v>0.161605206073753</v>
      </c>
      <c r="N100" s="10" t="n">
        <f aca="false">IFERROR(E100/C100,0)</f>
        <v>0.36822125813449</v>
      </c>
      <c r="O100" s="11" t="n">
        <f aca="false">IFERROR(F100/MAX(C100-D100,1),0)</f>
        <v>5.70181112548512</v>
      </c>
      <c r="P100" s="11" t="n">
        <f aca="false">IFERROR(F100/C100,0)</f>
        <v>4.78036876355748</v>
      </c>
      <c r="Q100" s="11" t="n">
        <f aca="false">IFERROR(H100/C100,0)</f>
        <v>879.341268980477</v>
      </c>
      <c r="R100" s="10" t="n">
        <f aca="false">IFERROR(I100/F100,0)</f>
        <v>0.510039705048213</v>
      </c>
      <c r="S100" s="10" t="n">
        <f aca="false">IFERROR(K100/J100,0)</f>
        <v>0.809490974570688</v>
      </c>
      <c r="T100" s="12" t="s">
        <v>30</v>
      </c>
    </row>
    <row r="101" customFormat="false" ht="15" hidden="false" customHeight="false" outlineLevel="0" collapsed="false">
      <c r="A101" s="9" t="s">
        <v>134</v>
      </c>
      <c r="B101" s="9" t="s">
        <v>22</v>
      </c>
      <c r="C101" s="9" t="n">
        <v>452</v>
      </c>
      <c r="D101" s="9" t="n">
        <v>209</v>
      </c>
      <c r="E101" s="9" t="n">
        <v>350</v>
      </c>
      <c r="F101" s="9" t="n">
        <v>2535</v>
      </c>
      <c r="G101" s="9" t="n">
        <v>22</v>
      </c>
      <c r="H101" s="9" t="n">
        <v>490428.7</v>
      </c>
      <c r="I101" s="9" t="n">
        <v>1959</v>
      </c>
      <c r="J101" s="9" t="n">
        <v>46247</v>
      </c>
      <c r="K101" s="9" t="n">
        <v>33238</v>
      </c>
      <c r="L101" s="9" t="n">
        <v>81</v>
      </c>
      <c r="M101" s="10" t="n">
        <f aca="false">IFERROR(D101/C101,0)</f>
        <v>0.462389380530973</v>
      </c>
      <c r="N101" s="10" t="n">
        <f aca="false">IFERROR(E101/C101,0)</f>
        <v>0.774336283185841</v>
      </c>
      <c r="O101" s="11" t="n">
        <f aca="false">IFERROR(F101/MAX(C101-D101,1),0)</f>
        <v>10.4320987654321</v>
      </c>
      <c r="P101" s="11" t="n">
        <f aca="false">IFERROR(F101/C101,0)</f>
        <v>5.60840707964602</v>
      </c>
      <c r="Q101" s="11" t="n">
        <f aca="false">IFERROR(H101/C101,0)</f>
        <v>1085.01924778761</v>
      </c>
      <c r="R101" s="10" t="n">
        <f aca="false">IFERROR(I101/F101,0)</f>
        <v>0.772781065088757</v>
      </c>
      <c r="S101" s="10" t="n">
        <f aca="false">IFERROR(K101/J101,0)</f>
        <v>0.718706078232102</v>
      </c>
      <c r="T101" s="12" t="s">
        <v>30</v>
      </c>
    </row>
    <row r="102" customFormat="false" ht="15" hidden="false" customHeight="false" outlineLevel="0" collapsed="false">
      <c r="A102" s="3" t="s">
        <v>135</v>
      </c>
      <c r="B102" s="3" t="s">
        <v>26</v>
      </c>
      <c r="C102" s="3" t="n">
        <v>1182</v>
      </c>
      <c r="D102" s="3" t="n">
        <v>103</v>
      </c>
      <c r="E102" s="3" t="n">
        <v>488</v>
      </c>
      <c r="F102" s="3" t="n">
        <v>2635</v>
      </c>
      <c r="G102" s="3" t="n">
        <v>12</v>
      </c>
      <c r="H102" s="3" t="n">
        <v>561819.9</v>
      </c>
      <c r="I102" s="3" t="n">
        <v>397</v>
      </c>
      <c r="J102" s="3" t="n">
        <v>122508</v>
      </c>
      <c r="K102" s="3" t="n">
        <v>28021</v>
      </c>
      <c r="L102" s="3" t="n">
        <v>322</v>
      </c>
      <c r="M102" s="4" t="n">
        <f aca="false">IFERROR(D102/C102,0)</f>
        <v>0.0871404399323181</v>
      </c>
      <c r="N102" s="4" t="n">
        <f aca="false">IFERROR(E102/C102,0)</f>
        <v>0.412859560067682</v>
      </c>
      <c r="O102" s="5" t="n">
        <f aca="false">IFERROR(F102/MAX(C102-D102,1),0)</f>
        <v>2.44207599629286</v>
      </c>
      <c r="P102" s="5" t="n">
        <f aca="false">IFERROR(F102/C102,0)</f>
        <v>2.22927241962775</v>
      </c>
      <c r="Q102" s="5" t="n">
        <f aca="false">IFERROR(H102/C102,0)</f>
        <v>475.312944162437</v>
      </c>
      <c r="R102" s="4" t="n">
        <f aca="false">IFERROR(I102/F102,0)</f>
        <v>0.150664136622391</v>
      </c>
      <c r="S102" s="4" t="n">
        <f aca="false">IFERROR(K102/J102,0)</f>
        <v>0.228727919809319</v>
      </c>
      <c r="T102" s="6" t="s">
        <v>23</v>
      </c>
    </row>
    <row r="103" customFormat="false" ht="15" hidden="false" customHeight="false" outlineLevel="0" collapsed="false">
      <c r="A103" s="3" t="s">
        <v>136</v>
      </c>
      <c r="B103" s="3" t="s">
        <v>29</v>
      </c>
      <c r="C103" s="3" t="n">
        <v>1669</v>
      </c>
      <c r="D103" s="3" t="n">
        <v>32</v>
      </c>
      <c r="E103" s="3" t="n">
        <v>607</v>
      </c>
      <c r="F103" s="3" t="n">
        <v>913</v>
      </c>
      <c r="G103" s="3" t="n">
        <v>1</v>
      </c>
      <c r="H103" s="3" t="n">
        <v>600526.3</v>
      </c>
      <c r="I103" s="3" t="n">
        <v>216</v>
      </c>
      <c r="J103" s="3" t="n">
        <v>295990</v>
      </c>
      <c r="K103" s="3" t="n">
        <v>54932</v>
      </c>
      <c r="L103" s="3" t="n">
        <v>0</v>
      </c>
      <c r="M103" s="4" t="n">
        <f aca="false">IFERROR(D103/C103,0)</f>
        <v>0.0191731575793889</v>
      </c>
      <c r="N103" s="4" t="n">
        <f aca="false">IFERROR(E103/C103,0)</f>
        <v>0.363690832834032</v>
      </c>
      <c r="O103" s="5" t="n">
        <f aca="false">IFERROR(F103/MAX(C103-D103,1),0)</f>
        <v>0.557727550397068</v>
      </c>
      <c r="P103" s="5" t="n">
        <f aca="false">IFERROR(F103/C103,0)</f>
        <v>0.547034152186938</v>
      </c>
      <c r="Q103" s="5" t="n">
        <f aca="false">IFERROR(H103/C103,0)</f>
        <v>359.812043139605</v>
      </c>
      <c r="R103" s="4" t="n">
        <f aca="false">IFERROR(I103/F103,0)</f>
        <v>0.23658269441402</v>
      </c>
      <c r="S103" s="4" t="n">
        <f aca="false">IFERROR(K103/J103,0)</f>
        <v>0.185587350924018</v>
      </c>
      <c r="T103" s="6" t="s">
        <v>23</v>
      </c>
    </row>
    <row r="104" customFormat="false" ht="15" hidden="false" customHeight="false" outlineLevel="0" collapsed="false">
      <c r="A104" s="9" t="s">
        <v>137</v>
      </c>
      <c r="B104" s="9" t="s">
        <v>26</v>
      </c>
      <c r="C104" s="9" t="n">
        <v>1711</v>
      </c>
      <c r="D104" s="9" t="n">
        <v>691</v>
      </c>
      <c r="E104" s="9" t="n">
        <v>989</v>
      </c>
      <c r="F104" s="9" t="n">
        <v>18360</v>
      </c>
      <c r="G104" s="9" t="n">
        <v>28</v>
      </c>
      <c r="H104" s="9" t="n">
        <v>1700201.2</v>
      </c>
      <c r="I104" s="9" t="n">
        <v>11445</v>
      </c>
      <c r="J104" s="9" t="n">
        <v>268101</v>
      </c>
      <c r="K104" s="9" t="n">
        <v>205709</v>
      </c>
      <c r="L104" s="9" t="n">
        <v>442</v>
      </c>
      <c r="M104" s="10" t="n">
        <f aca="false">IFERROR(D104/C104,0)</f>
        <v>0.40385739333723</v>
      </c>
      <c r="N104" s="10" t="n">
        <f aca="false">IFERROR(E104/C104,0)</f>
        <v>0.57802454704851</v>
      </c>
      <c r="O104" s="11" t="n">
        <f aca="false">IFERROR(F104/MAX(C104-D104,1),0)</f>
        <v>18</v>
      </c>
      <c r="P104" s="11" t="n">
        <f aca="false">IFERROR(F104/C104,0)</f>
        <v>10.7305669199299</v>
      </c>
      <c r="Q104" s="11" t="n">
        <f aca="false">IFERROR(H104/C104,0)</f>
        <v>993.688603156049</v>
      </c>
      <c r="R104" s="10" t="n">
        <f aca="false">IFERROR(I104/F104,0)</f>
        <v>0.623366013071895</v>
      </c>
      <c r="S104" s="10" t="n">
        <f aca="false">IFERROR(K104/J104,0)</f>
        <v>0.767281733376601</v>
      </c>
      <c r="T104" s="12" t="s">
        <v>30</v>
      </c>
    </row>
    <row r="105" customFormat="false" ht="15" hidden="false" customHeight="false" outlineLevel="0" collapsed="false">
      <c r="A105" s="9" t="s">
        <v>138</v>
      </c>
      <c r="B105" s="9" t="s">
        <v>26</v>
      </c>
      <c r="C105" s="9" t="n">
        <v>396</v>
      </c>
      <c r="D105" s="9" t="n">
        <v>91</v>
      </c>
      <c r="E105" s="9" t="n">
        <v>192</v>
      </c>
      <c r="F105" s="9" t="n">
        <v>1386</v>
      </c>
      <c r="G105" s="9" t="n">
        <v>9</v>
      </c>
      <c r="H105" s="9" t="n">
        <v>396797</v>
      </c>
      <c r="I105" s="9" t="n">
        <v>737</v>
      </c>
      <c r="J105" s="9" t="n">
        <v>66208</v>
      </c>
      <c r="K105" s="9" t="n">
        <v>44352</v>
      </c>
      <c r="L105" s="9" t="n">
        <v>93</v>
      </c>
      <c r="M105" s="10" t="n">
        <f aca="false">IFERROR(D105/C105,0)</f>
        <v>0.22979797979798</v>
      </c>
      <c r="N105" s="10" t="n">
        <f aca="false">IFERROR(E105/C105,0)</f>
        <v>0.484848484848485</v>
      </c>
      <c r="O105" s="11" t="n">
        <f aca="false">IFERROR(F105/MAX(C105-D105,1),0)</f>
        <v>4.54426229508197</v>
      </c>
      <c r="P105" s="11" t="n">
        <f aca="false">IFERROR(F105/C105,0)</f>
        <v>3.5</v>
      </c>
      <c r="Q105" s="11" t="n">
        <f aca="false">IFERROR(H105/C105,0)</f>
        <v>1002.01262626263</v>
      </c>
      <c r="R105" s="10" t="n">
        <f aca="false">IFERROR(I105/F105,0)</f>
        <v>0.531746031746032</v>
      </c>
      <c r="S105" s="10" t="n">
        <f aca="false">IFERROR(K105/J105,0)</f>
        <v>0.66988883518608</v>
      </c>
      <c r="T105" s="12" t="s">
        <v>30</v>
      </c>
    </row>
    <row r="106" customFormat="false" ht="15" hidden="false" customHeight="false" outlineLevel="0" collapsed="false">
      <c r="A106" s="3" t="s">
        <v>139</v>
      </c>
      <c r="B106" s="3" t="s">
        <v>26</v>
      </c>
      <c r="C106" s="3" t="n">
        <v>2582</v>
      </c>
      <c r="D106" s="3" t="n">
        <v>268</v>
      </c>
      <c r="E106" s="3" t="n">
        <v>1160</v>
      </c>
      <c r="F106" s="3" t="n">
        <v>5589</v>
      </c>
      <c r="G106" s="3" t="n">
        <v>9</v>
      </c>
      <c r="H106" s="3" t="n">
        <v>1025794.2</v>
      </c>
      <c r="I106" s="3" t="n">
        <v>889</v>
      </c>
      <c r="J106" s="3" t="n">
        <v>349783</v>
      </c>
      <c r="K106" s="3" t="n">
        <v>52817</v>
      </c>
      <c r="L106" s="3" t="n">
        <v>771</v>
      </c>
      <c r="M106" s="4" t="n">
        <f aca="false">IFERROR(D106/C106,0)</f>
        <v>0.103795507358637</v>
      </c>
      <c r="N106" s="4" t="n">
        <f aca="false">IFERROR(E106/C106,0)</f>
        <v>0.449264136328428</v>
      </c>
      <c r="O106" s="5" t="n">
        <f aca="false">IFERROR(F106/MAX(C106-D106,1),0)</f>
        <v>2.41529818496111</v>
      </c>
      <c r="P106" s="5" t="n">
        <f aca="false">IFERROR(F106/C106,0)</f>
        <v>2.16460108443067</v>
      </c>
      <c r="Q106" s="5" t="n">
        <f aca="false">IFERROR(H106/C106,0)</f>
        <v>397.286676994578</v>
      </c>
      <c r="R106" s="4" t="n">
        <f aca="false">IFERROR(I106/F106,0)</f>
        <v>0.159062444086599</v>
      </c>
      <c r="S106" s="4" t="n">
        <f aca="false">IFERROR(K106/J106,0)</f>
        <v>0.150999333872715</v>
      </c>
      <c r="T106" s="6" t="s">
        <v>23</v>
      </c>
    </row>
    <row r="107" customFormat="false" ht="15" hidden="false" customHeight="false" outlineLevel="0" collapsed="false">
      <c r="A107" s="9" t="s">
        <v>140</v>
      </c>
      <c r="B107" s="9" t="s">
        <v>29</v>
      </c>
      <c r="C107" s="9" t="n">
        <v>664</v>
      </c>
      <c r="D107" s="9" t="n">
        <v>153</v>
      </c>
      <c r="E107" s="9" t="n">
        <v>350</v>
      </c>
      <c r="F107" s="9" t="n">
        <v>6128</v>
      </c>
      <c r="G107" s="9" t="n">
        <v>24</v>
      </c>
      <c r="H107" s="9" t="n">
        <v>564892.5</v>
      </c>
      <c r="I107" s="9" t="n">
        <v>3522</v>
      </c>
      <c r="J107" s="9" t="n">
        <v>109187</v>
      </c>
      <c r="K107" s="9" t="n">
        <v>107003</v>
      </c>
      <c r="L107" s="9" t="n">
        <v>0</v>
      </c>
      <c r="M107" s="10" t="n">
        <f aca="false">IFERROR(D107/C107,0)</f>
        <v>0.230421686746988</v>
      </c>
      <c r="N107" s="10" t="n">
        <f aca="false">IFERROR(E107/C107,0)</f>
        <v>0.52710843373494</v>
      </c>
      <c r="O107" s="11" t="n">
        <f aca="false">IFERROR(F107/MAX(C107-D107,1),0)</f>
        <v>11.9921722113503</v>
      </c>
      <c r="P107" s="11" t="n">
        <f aca="false">IFERROR(F107/C107,0)</f>
        <v>9.2289156626506</v>
      </c>
      <c r="Q107" s="11" t="n">
        <f aca="false">IFERROR(H107/C107,0)</f>
        <v>850.74171686747</v>
      </c>
      <c r="R107" s="10" t="n">
        <f aca="false">IFERROR(I107/F107,0)</f>
        <v>0.574738903394256</v>
      </c>
      <c r="S107" s="10" t="n">
        <f aca="false">IFERROR(K107/J107,0)</f>
        <v>0.979997618764139</v>
      </c>
      <c r="T107" s="12" t="s">
        <v>30</v>
      </c>
    </row>
    <row r="108" customFormat="false" ht="15" hidden="false" customHeight="false" outlineLevel="0" collapsed="false">
      <c r="A108" s="3" t="s">
        <v>141</v>
      </c>
      <c r="B108" s="3" t="s">
        <v>22</v>
      </c>
      <c r="C108" s="3" t="n">
        <v>388</v>
      </c>
      <c r="D108" s="3" t="n">
        <v>51</v>
      </c>
      <c r="E108" s="3" t="n">
        <v>130</v>
      </c>
      <c r="F108" s="3" t="n">
        <v>1067</v>
      </c>
      <c r="G108" s="3" t="n">
        <v>12</v>
      </c>
      <c r="H108" s="3" t="n">
        <v>195490.6</v>
      </c>
      <c r="I108" s="3" t="n">
        <v>212</v>
      </c>
      <c r="J108" s="3" t="n">
        <v>35269</v>
      </c>
      <c r="K108" s="3" t="n">
        <v>7193</v>
      </c>
      <c r="L108" s="3" t="n">
        <v>124</v>
      </c>
      <c r="M108" s="4" t="n">
        <f aca="false">IFERROR(D108/C108,0)</f>
        <v>0.131443298969072</v>
      </c>
      <c r="N108" s="4" t="n">
        <f aca="false">IFERROR(E108/C108,0)</f>
        <v>0.335051546391753</v>
      </c>
      <c r="O108" s="5" t="n">
        <f aca="false">IFERROR(F108/MAX(C108-D108,1),0)</f>
        <v>3.16617210682493</v>
      </c>
      <c r="P108" s="5" t="n">
        <f aca="false">IFERROR(F108/C108,0)</f>
        <v>2.75</v>
      </c>
      <c r="Q108" s="5" t="n">
        <f aca="false">IFERROR(H108/C108,0)</f>
        <v>503.84175257732</v>
      </c>
      <c r="R108" s="4" t="n">
        <f aca="false">IFERROR(I108/F108,0)</f>
        <v>0.198687910028116</v>
      </c>
      <c r="S108" s="4" t="n">
        <f aca="false">IFERROR(K108/J108,0)</f>
        <v>0.203946808812271</v>
      </c>
      <c r="T108" s="6" t="s">
        <v>23</v>
      </c>
    </row>
    <row r="109" customFormat="false" ht="15" hidden="false" customHeight="false" outlineLevel="0" collapsed="false">
      <c r="A109" s="3" t="s">
        <v>142</v>
      </c>
      <c r="B109" s="3" t="s">
        <v>29</v>
      </c>
      <c r="C109" s="3" t="n">
        <v>3044</v>
      </c>
      <c r="D109" s="3" t="n">
        <v>353</v>
      </c>
      <c r="E109" s="3" t="n">
        <v>1036</v>
      </c>
      <c r="F109" s="3" t="n">
        <v>9804</v>
      </c>
      <c r="G109" s="3" t="n">
        <v>10</v>
      </c>
      <c r="H109" s="3" t="n">
        <v>1337223.7</v>
      </c>
      <c r="I109" s="3" t="n">
        <v>2075</v>
      </c>
      <c r="J109" s="3" t="n">
        <v>281029</v>
      </c>
      <c r="K109" s="3" t="n">
        <v>65243</v>
      </c>
      <c r="L109" s="3" t="n">
        <v>0</v>
      </c>
      <c r="M109" s="4" t="n">
        <f aca="false">IFERROR(D109/C109,0)</f>
        <v>0.115965834428384</v>
      </c>
      <c r="N109" s="4" t="n">
        <f aca="false">IFERROR(E109/C109,0)</f>
        <v>0.340341655716163</v>
      </c>
      <c r="O109" s="5" t="n">
        <f aca="false">IFERROR(F109/MAX(C109-D109,1),0)</f>
        <v>3.64325529542921</v>
      </c>
      <c r="P109" s="5" t="n">
        <f aca="false">IFERROR(F109/C109,0)</f>
        <v>3.22076215505913</v>
      </c>
      <c r="Q109" s="5" t="n">
        <f aca="false">IFERROR(H109/C109,0)</f>
        <v>439.298193166886</v>
      </c>
      <c r="R109" s="4" t="n">
        <f aca="false">IFERROR(I109/F109,0)</f>
        <v>0.211648306813546</v>
      </c>
      <c r="S109" s="4" t="n">
        <f aca="false">IFERROR(K109/J109,0)</f>
        <v>0.232157535343328</v>
      </c>
      <c r="T109" s="6" t="s">
        <v>23</v>
      </c>
    </row>
    <row r="110" customFormat="false" ht="15" hidden="false" customHeight="false" outlineLevel="0" collapsed="false">
      <c r="A110" s="3" t="s">
        <v>143</v>
      </c>
      <c r="B110" s="3" t="s">
        <v>22</v>
      </c>
      <c r="C110" s="3" t="n">
        <v>3197</v>
      </c>
      <c r="D110" s="3" t="n">
        <v>230</v>
      </c>
      <c r="E110" s="3" t="n">
        <v>894</v>
      </c>
      <c r="F110" s="3" t="n">
        <v>6359</v>
      </c>
      <c r="G110" s="3" t="n">
        <v>10</v>
      </c>
      <c r="H110" s="3" t="n">
        <v>1009887.2</v>
      </c>
      <c r="I110" s="3" t="n">
        <v>1329</v>
      </c>
      <c r="J110" s="3" t="n">
        <v>494713</v>
      </c>
      <c r="K110" s="3" t="n">
        <v>45364</v>
      </c>
      <c r="L110" s="3" t="n">
        <v>272</v>
      </c>
      <c r="M110" s="4" t="n">
        <f aca="false">IFERROR(D110/C110,0)</f>
        <v>0.0719424460431655</v>
      </c>
      <c r="N110" s="4" t="n">
        <f aca="false">IFERROR(E110/C110,0)</f>
        <v>0.279637159837348</v>
      </c>
      <c r="O110" s="5" t="n">
        <f aca="false">IFERROR(F110/MAX(C110-D110,1),0)</f>
        <v>2.14324233232221</v>
      </c>
      <c r="P110" s="5" t="n">
        <f aca="false">IFERROR(F110/C110,0)</f>
        <v>1.98905223647169</v>
      </c>
      <c r="Q110" s="5" t="n">
        <f aca="false">IFERROR(H110/C110,0)</f>
        <v>315.885893024711</v>
      </c>
      <c r="R110" s="4" t="n">
        <f aca="false">IFERROR(I110/F110,0)</f>
        <v>0.208995125019657</v>
      </c>
      <c r="S110" s="4" t="n">
        <f aca="false">IFERROR(K110/J110,0)</f>
        <v>0.0916976105337842</v>
      </c>
      <c r="T110" s="6" t="s">
        <v>23</v>
      </c>
    </row>
    <row r="111" customFormat="false" ht="15" hidden="false" customHeight="false" outlineLevel="0" collapsed="false">
      <c r="A111" s="9" t="s">
        <v>144</v>
      </c>
      <c r="B111" s="9" t="s">
        <v>22</v>
      </c>
      <c r="C111" s="9" t="n">
        <v>3531</v>
      </c>
      <c r="D111" s="9" t="n">
        <v>766</v>
      </c>
      <c r="E111" s="9" t="n">
        <v>1845</v>
      </c>
      <c r="F111" s="9" t="n">
        <v>30267</v>
      </c>
      <c r="G111" s="9" t="n">
        <v>29</v>
      </c>
      <c r="H111" s="9" t="n">
        <v>3281137.3</v>
      </c>
      <c r="I111" s="9" t="n">
        <v>16856</v>
      </c>
      <c r="J111" s="9" t="n">
        <v>431718</v>
      </c>
      <c r="K111" s="9" t="n">
        <v>315722</v>
      </c>
      <c r="L111" s="9" t="n">
        <v>715</v>
      </c>
      <c r="M111" s="10" t="n">
        <f aca="false">IFERROR(D111/C111,0)</f>
        <v>0.216935712262815</v>
      </c>
      <c r="N111" s="10" t="n">
        <f aca="false">IFERROR(E111/C111,0)</f>
        <v>0.522514868309261</v>
      </c>
      <c r="O111" s="11" t="n">
        <f aca="false">IFERROR(F111/MAX(C111-D111,1),0)</f>
        <v>10.9464737793852</v>
      </c>
      <c r="P111" s="11" t="n">
        <f aca="false">IFERROR(F111/C111,0)</f>
        <v>8.57179269328802</v>
      </c>
      <c r="Q111" s="11" t="n">
        <f aca="false">IFERROR(H111/C111,0)</f>
        <v>929.237411498159</v>
      </c>
      <c r="R111" s="10" t="n">
        <f aca="false">IFERROR(I111/F111,0)</f>
        <v>0.556910166187597</v>
      </c>
      <c r="S111" s="10" t="n">
        <f aca="false">IFERROR(K111/J111,0)</f>
        <v>0.731315349371581</v>
      </c>
      <c r="T111" s="12" t="s">
        <v>30</v>
      </c>
    </row>
    <row r="112" customFormat="false" ht="15" hidden="false" customHeight="false" outlineLevel="0" collapsed="false">
      <c r="A112" s="3" t="s">
        <v>145</v>
      </c>
      <c r="B112" s="3" t="s">
        <v>22</v>
      </c>
      <c r="C112" s="3" t="n">
        <v>2714</v>
      </c>
      <c r="D112" s="3" t="n">
        <v>289</v>
      </c>
      <c r="E112" s="3" t="n">
        <v>1048</v>
      </c>
      <c r="F112" s="3" t="n">
        <v>10212</v>
      </c>
      <c r="G112" s="3" t="n">
        <v>12</v>
      </c>
      <c r="H112" s="3" t="n">
        <v>1253568.7</v>
      </c>
      <c r="I112" s="3" t="n">
        <v>1229</v>
      </c>
      <c r="J112" s="3" t="n">
        <v>283401</v>
      </c>
      <c r="K112" s="3" t="n">
        <v>30483</v>
      </c>
      <c r="L112" s="3" t="n">
        <v>688</v>
      </c>
      <c r="M112" s="4" t="n">
        <f aca="false">IFERROR(D112/C112,0)</f>
        <v>0.106484893146647</v>
      </c>
      <c r="N112" s="4" t="n">
        <f aca="false">IFERROR(E112/C112,0)</f>
        <v>0.3861459100958</v>
      </c>
      <c r="O112" s="5" t="n">
        <f aca="false">IFERROR(F112/MAX(C112-D112,1),0)</f>
        <v>4.21113402061856</v>
      </c>
      <c r="P112" s="5" t="n">
        <f aca="false">IFERROR(F112/C112,0)</f>
        <v>3.76271186440678</v>
      </c>
      <c r="Q112" s="5" t="n">
        <f aca="false">IFERROR(H112/C112,0)</f>
        <v>461.889719970523</v>
      </c>
      <c r="R112" s="4" t="n">
        <f aca="false">IFERROR(I112/F112,0)</f>
        <v>0.120348609479044</v>
      </c>
      <c r="S112" s="4" t="n">
        <f aca="false">IFERROR(K112/J112,0)</f>
        <v>0.107561370637365</v>
      </c>
      <c r="T112" s="6" t="s">
        <v>23</v>
      </c>
    </row>
    <row r="113" customFormat="false" ht="15" hidden="false" customHeight="false" outlineLevel="0" collapsed="false">
      <c r="A113" s="3" t="s">
        <v>146</v>
      </c>
      <c r="B113" s="3" t="s">
        <v>26</v>
      </c>
      <c r="C113" s="3" t="n">
        <v>828</v>
      </c>
      <c r="D113" s="3" t="n">
        <v>59</v>
      </c>
      <c r="E113" s="3" t="n">
        <v>232</v>
      </c>
      <c r="F113" s="3" t="n">
        <v>2007</v>
      </c>
      <c r="G113" s="3" t="n">
        <v>13</v>
      </c>
      <c r="H113" s="3" t="n">
        <v>311021.4</v>
      </c>
      <c r="I113" s="3" t="n">
        <v>488</v>
      </c>
      <c r="J113" s="3" t="n">
        <v>61304</v>
      </c>
      <c r="K113" s="3" t="n">
        <v>10670</v>
      </c>
      <c r="L113" s="3" t="n">
        <v>186</v>
      </c>
      <c r="M113" s="4" t="n">
        <f aca="false">IFERROR(D113/C113,0)</f>
        <v>0.071256038647343</v>
      </c>
      <c r="N113" s="4" t="n">
        <f aca="false">IFERROR(E113/C113,0)</f>
        <v>0.280193236714976</v>
      </c>
      <c r="O113" s="5" t="n">
        <f aca="false">IFERROR(F113/MAX(C113-D113,1),0)</f>
        <v>2.60988296488947</v>
      </c>
      <c r="P113" s="5" t="n">
        <f aca="false">IFERROR(F113/C113,0)</f>
        <v>2.42391304347826</v>
      </c>
      <c r="Q113" s="5" t="n">
        <f aca="false">IFERROR(H113/C113,0)</f>
        <v>375.629710144928</v>
      </c>
      <c r="R113" s="4" t="n">
        <f aca="false">IFERROR(I113/F113,0)</f>
        <v>0.243148978574988</v>
      </c>
      <c r="S113" s="4" t="n">
        <f aca="false">IFERROR(K113/J113,0)</f>
        <v>0.174050632911392</v>
      </c>
      <c r="T113" s="6" t="s">
        <v>23</v>
      </c>
    </row>
    <row r="114" customFormat="false" ht="15" hidden="false" customHeight="false" outlineLevel="0" collapsed="false">
      <c r="A114" s="9" t="s">
        <v>147</v>
      </c>
      <c r="B114" s="9" t="s">
        <v>22</v>
      </c>
      <c r="C114" s="9" t="n">
        <v>1735</v>
      </c>
      <c r="D114" s="9" t="n">
        <v>342</v>
      </c>
      <c r="E114" s="9" t="n">
        <v>657</v>
      </c>
      <c r="F114" s="9" t="n">
        <v>8805</v>
      </c>
      <c r="G114" s="9" t="n">
        <v>17</v>
      </c>
      <c r="H114" s="9" t="n">
        <v>1095575.4</v>
      </c>
      <c r="I114" s="9" t="n">
        <v>6504</v>
      </c>
      <c r="J114" s="9" t="n">
        <v>270271</v>
      </c>
      <c r="K114" s="9" t="n">
        <v>170147</v>
      </c>
      <c r="L114" s="9" t="n">
        <v>664</v>
      </c>
      <c r="M114" s="10" t="n">
        <f aca="false">IFERROR(D114/C114,0)</f>
        <v>0.197118155619597</v>
      </c>
      <c r="N114" s="10" t="n">
        <f aca="false">IFERROR(E114/C114,0)</f>
        <v>0.378674351585014</v>
      </c>
      <c r="O114" s="11" t="n">
        <f aca="false">IFERROR(F114/MAX(C114-D114,1),0)</f>
        <v>6.32089016511127</v>
      </c>
      <c r="P114" s="11" t="n">
        <f aca="false">IFERROR(F114/C114,0)</f>
        <v>5.07492795389049</v>
      </c>
      <c r="Q114" s="11" t="n">
        <f aca="false">IFERROR(H114/C114,0)</f>
        <v>631.455561959654</v>
      </c>
      <c r="R114" s="10" t="n">
        <f aca="false">IFERROR(I114/F114,0)</f>
        <v>0.738671209540034</v>
      </c>
      <c r="S114" s="10" t="n">
        <f aca="false">IFERROR(K114/J114,0)</f>
        <v>0.629542200236059</v>
      </c>
      <c r="T114" s="12" t="s">
        <v>30</v>
      </c>
    </row>
    <row r="115" customFormat="false" ht="15" hidden="false" customHeight="false" outlineLevel="0" collapsed="false">
      <c r="A115" s="3" t="s">
        <v>148</v>
      </c>
      <c r="B115" s="3" t="s">
        <v>22</v>
      </c>
      <c r="C115" s="3" t="n">
        <v>2722</v>
      </c>
      <c r="D115" s="3" t="n">
        <v>172</v>
      </c>
      <c r="E115" s="3" t="n">
        <v>763</v>
      </c>
      <c r="F115" s="3" t="n">
        <v>3966</v>
      </c>
      <c r="G115" s="3" t="n">
        <v>6</v>
      </c>
      <c r="H115" s="3" t="n">
        <v>778316.6</v>
      </c>
      <c r="I115" s="3" t="n">
        <v>764</v>
      </c>
      <c r="J115" s="3" t="n">
        <v>359311</v>
      </c>
      <c r="K115" s="3" t="n">
        <v>35538</v>
      </c>
      <c r="L115" s="3" t="n">
        <v>465</v>
      </c>
      <c r="M115" s="4" t="n">
        <f aca="false">IFERROR(D115/C115,0)</f>
        <v>0.0631888317413666</v>
      </c>
      <c r="N115" s="4" t="n">
        <f aca="false">IFERROR(E115/C115,0)</f>
        <v>0.280308596620132</v>
      </c>
      <c r="O115" s="5" t="n">
        <f aca="false">IFERROR(F115/MAX(C115-D115,1),0)</f>
        <v>1.55529411764706</v>
      </c>
      <c r="P115" s="5" t="n">
        <f aca="false">IFERROR(F115/C115,0)</f>
        <v>1.45701689933872</v>
      </c>
      <c r="Q115" s="5" t="n">
        <f aca="false">IFERROR(H115/C115,0)</f>
        <v>285.935562086701</v>
      </c>
      <c r="R115" s="4" t="n">
        <f aca="false">IFERROR(I115/F115,0)</f>
        <v>0.192637418053454</v>
      </c>
      <c r="S115" s="4" t="n">
        <f aca="false">IFERROR(K115/J115,0)</f>
        <v>0.0989059616877858</v>
      </c>
      <c r="T115" s="6" t="s">
        <v>23</v>
      </c>
    </row>
    <row r="116" customFormat="false" ht="15" hidden="false" customHeight="false" outlineLevel="0" collapsed="false">
      <c r="A116" s="3" t="s">
        <v>149</v>
      </c>
      <c r="B116" s="3" t="s">
        <v>22</v>
      </c>
      <c r="C116" s="3" t="n">
        <v>3165</v>
      </c>
      <c r="D116" s="3" t="n">
        <v>332</v>
      </c>
      <c r="E116" s="3" t="n">
        <v>1274</v>
      </c>
      <c r="F116" s="3" t="n">
        <v>12747</v>
      </c>
      <c r="G116" s="3" t="n">
        <v>16</v>
      </c>
      <c r="H116" s="3" t="n">
        <v>1734032.5</v>
      </c>
      <c r="I116" s="3" t="n">
        <v>2305</v>
      </c>
      <c r="J116" s="3" t="n">
        <v>458884</v>
      </c>
      <c r="K116" s="3" t="n">
        <v>92009</v>
      </c>
      <c r="L116" s="3" t="n">
        <v>878</v>
      </c>
      <c r="M116" s="4" t="n">
        <f aca="false">IFERROR(D116/C116,0)</f>
        <v>0.104897314375987</v>
      </c>
      <c r="N116" s="4" t="n">
        <f aca="false">IFERROR(E116/C116,0)</f>
        <v>0.402527646129542</v>
      </c>
      <c r="O116" s="5" t="n">
        <f aca="false">IFERROR(F116/MAX(C116-D116,1),0)</f>
        <v>4.49947052594423</v>
      </c>
      <c r="P116" s="5" t="n">
        <f aca="false">IFERROR(F116/C116,0)</f>
        <v>4.02748815165877</v>
      </c>
      <c r="Q116" s="5" t="n">
        <f aca="false">IFERROR(H116/C116,0)</f>
        <v>547.8775671406</v>
      </c>
      <c r="R116" s="4" t="n">
        <f aca="false">IFERROR(I116/F116,0)</f>
        <v>0.180826861222248</v>
      </c>
      <c r="S116" s="4" t="n">
        <f aca="false">IFERROR(K116/J116,0)</f>
        <v>0.200506010233523</v>
      </c>
      <c r="T116" s="6" t="s">
        <v>23</v>
      </c>
    </row>
    <row r="117" customFormat="false" ht="15" hidden="false" customHeight="false" outlineLevel="0" collapsed="false">
      <c r="A117" s="3" t="s">
        <v>150</v>
      </c>
      <c r="B117" s="3" t="s">
        <v>29</v>
      </c>
      <c r="C117" s="3" t="n">
        <v>2157</v>
      </c>
      <c r="D117" s="3" t="n">
        <v>69</v>
      </c>
      <c r="E117" s="3" t="n">
        <v>659</v>
      </c>
      <c r="F117" s="3" t="n">
        <v>2251</v>
      </c>
      <c r="G117" s="3" t="n">
        <v>3</v>
      </c>
      <c r="H117" s="3" t="n">
        <v>827683</v>
      </c>
      <c r="I117" s="3" t="n">
        <v>204</v>
      </c>
      <c r="J117" s="3" t="n">
        <v>225872</v>
      </c>
      <c r="K117" s="3" t="n">
        <v>35742</v>
      </c>
      <c r="L117" s="3" t="n">
        <v>0</v>
      </c>
      <c r="M117" s="4" t="n">
        <f aca="false">IFERROR(D117/C117,0)</f>
        <v>0.0319888734353268</v>
      </c>
      <c r="N117" s="4" t="n">
        <f aca="false">IFERROR(E117/C117,0)</f>
        <v>0.30551692165044</v>
      </c>
      <c r="O117" s="5" t="n">
        <f aca="false">IFERROR(F117/MAX(C117-D117,1),0)</f>
        <v>1.07806513409962</v>
      </c>
      <c r="P117" s="5" t="n">
        <f aca="false">IFERROR(F117/C117,0)</f>
        <v>1.04357904496987</v>
      </c>
      <c r="Q117" s="5" t="n">
        <f aca="false">IFERROR(H117/C117,0)</f>
        <v>383.719517848864</v>
      </c>
      <c r="R117" s="4" t="n">
        <f aca="false">IFERROR(I117/F117,0)</f>
        <v>0.0906263882718792</v>
      </c>
      <c r="S117" s="4" t="n">
        <f aca="false">IFERROR(K117/J117,0)</f>
        <v>0.158240065169654</v>
      </c>
      <c r="T117" s="6" t="s">
        <v>23</v>
      </c>
    </row>
    <row r="118" customFormat="false" ht="15" hidden="false" customHeight="false" outlineLevel="0" collapsed="false">
      <c r="A118" s="3" t="s">
        <v>151</v>
      </c>
      <c r="B118" s="3" t="s">
        <v>26</v>
      </c>
      <c r="C118" s="3" t="n">
        <v>804</v>
      </c>
      <c r="D118" s="3" t="n">
        <v>129</v>
      </c>
      <c r="E118" s="3" t="n">
        <v>397</v>
      </c>
      <c r="F118" s="3" t="n">
        <v>2481</v>
      </c>
      <c r="G118" s="3" t="n">
        <v>15</v>
      </c>
      <c r="H118" s="3" t="n">
        <v>519343.6</v>
      </c>
      <c r="I118" s="3" t="n">
        <v>511</v>
      </c>
      <c r="J118" s="3" t="n">
        <v>117007</v>
      </c>
      <c r="K118" s="3" t="n">
        <v>23497</v>
      </c>
      <c r="L118" s="3" t="n">
        <v>281</v>
      </c>
      <c r="M118" s="4" t="n">
        <f aca="false">IFERROR(D118/C118,0)</f>
        <v>0.16044776119403</v>
      </c>
      <c r="N118" s="4" t="n">
        <f aca="false">IFERROR(E118/C118,0)</f>
        <v>0.493781094527363</v>
      </c>
      <c r="O118" s="5" t="n">
        <f aca="false">IFERROR(F118/MAX(C118-D118,1),0)</f>
        <v>3.67555555555556</v>
      </c>
      <c r="P118" s="5" t="n">
        <f aca="false">IFERROR(F118/C118,0)</f>
        <v>3.08582089552239</v>
      </c>
      <c r="Q118" s="5" t="n">
        <f aca="false">IFERROR(H118/C118,0)</f>
        <v>645.949751243781</v>
      </c>
      <c r="R118" s="4" t="n">
        <f aca="false">IFERROR(I118/F118,0)</f>
        <v>0.20596533655784</v>
      </c>
      <c r="S118" s="4" t="n">
        <f aca="false">IFERROR(K118/J118,0)</f>
        <v>0.200817045134052</v>
      </c>
      <c r="T118" s="6" t="s">
        <v>23</v>
      </c>
    </row>
    <row r="119" customFormat="false" ht="15" hidden="false" customHeight="false" outlineLevel="0" collapsed="false">
      <c r="A119" s="9" t="s">
        <v>152</v>
      </c>
      <c r="B119" s="9" t="s">
        <v>22</v>
      </c>
      <c r="C119" s="9" t="n">
        <v>1748</v>
      </c>
      <c r="D119" s="9" t="n">
        <v>426</v>
      </c>
      <c r="E119" s="9" t="n">
        <v>720</v>
      </c>
      <c r="F119" s="9" t="n">
        <v>12109</v>
      </c>
      <c r="G119" s="9" t="n">
        <v>17</v>
      </c>
      <c r="H119" s="9" t="n">
        <v>1089944.7</v>
      </c>
      <c r="I119" s="9" t="n">
        <v>7426</v>
      </c>
      <c r="J119" s="9" t="n">
        <v>316360</v>
      </c>
      <c r="K119" s="9" t="n">
        <v>187068</v>
      </c>
      <c r="L119" s="9" t="n">
        <v>312</v>
      </c>
      <c r="M119" s="10" t="n">
        <f aca="false">IFERROR(D119/C119,0)</f>
        <v>0.24370709382151</v>
      </c>
      <c r="N119" s="10" t="n">
        <f aca="false">IFERROR(E119/C119,0)</f>
        <v>0.411899313501144</v>
      </c>
      <c r="O119" s="11" t="n">
        <f aca="false">IFERROR(F119/MAX(C119-D119,1),0)</f>
        <v>9.15960665658094</v>
      </c>
      <c r="P119" s="11" t="n">
        <f aca="false">IFERROR(F119/C119,0)</f>
        <v>6.92734553775744</v>
      </c>
      <c r="Q119" s="11" t="n">
        <f aca="false">IFERROR(H119/C119,0)</f>
        <v>623.538157894737</v>
      </c>
      <c r="R119" s="10" t="n">
        <f aca="false">IFERROR(I119/F119,0)</f>
        <v>0.613262862333801</v>
      </c>
      <c r="S119" s="10" t="n">
        <f aca="false">IFERROR(K119/J119,0)</f>
        <v>0.591313693260842</v>
      </c>
      <c r="T119" s="12" t="s">
        <v>30</v>
      </c>
    </row>
    <row r="120" customFormat="false" ht="15" hidden="false" customHeight="false" outlineLevel="0" collapsed="false">
      <c r="A120" s="9" t="s">
        <v>153</v>
      </c>
      <c r="B120" s="9" t="s">
        <v>22</v>
      </c>
      <c r="C120" s="9" t="n">
        <v>1497</v>
      </c>
      <c r="D120" s="9" t="n">
        <v>609</v>
      </c>
      <c r="E120" s="9" t="n">
        <v>983</v>
      </c>
      <c r="F120" s="9" t="n">
        <v>12113</v>
      </c>
      <c r="G120" s="9" t="n">
        <v>26</v>
      </c>
      <c r="H120" s="9" t="n">
        <v>1936314.3</v>
      </c>
      <c r="I120" s="9" t="n">
        <v>7640</v>
      </c>
      <c r="J120" s="9" t="n">
        <v>158407</v>
      </c>
      <c r="K120" s="9" t="n">
        <v>128845</v>
      </c>
      <c r="L120" s="9" t="n">
        <v>595</v>
      </c>
      <c r="M120" s="10" t="n">
        <f aca="false">IFERROR(D120/C120,0)</f>
        <v>0.406813627254509</v>
      </c>
      <c r="N120" s="10" t="n">
        <f aca="false">IFERROR(E120/C120,0)</f>
        <v>0.656646626586506</v>
      </c>
      <c r="O120" s="11" t="n">
        <f aca="false">IFERROR(F120/MAX(C120-D120,1),0)</f>
        <v>13.6407657657658</v>
      </c>
      <c r="P120" s="11" t="n">
        <f aca="false">IFERROR(F120/C120,0)</f>
        <v>8.09151636606547</v>
      </c>
      <c r="Q120" s="11" t="n">
        <f aca="false">IFERROR(H120/C120,0)</f>
        <v>1293.46312625251</v>
      </c>
      <c r="R120" s="10" t="n">
        <f aca="false">IFERROR(I120/F120,0)</f>
        <v>0.630727317757781</v>
      </c>
      <c r="S120" s="10" t="n">
        <f aca="false">IFERROR(K120/J120,0)</f>
        <v>0.813379459241069</v>
      </c>
      <c r="T120" s="12" t="s">
        <v>30</v>
      </c>
    </row>
    <row r="121" customFormat="false" ht="15" hidden="false" customHeight="false" outlineLevel="0" collapsed="false">
      <c r="A121" s="9" t="s">
        <v>154</v>
      </c>
      <c r="B121" s="9" t="s">
        <v>29</v>
      </c>
      <c r="C121" s="9" t="n">
        <v>674</v>
      </c>
      <c r="D121" s="9" t="n">
        <v>213</v>
      </c>
      <c r="E121" s="9" t="n">
        <v>318</v>
      </c>
      <c r="F121" s="9" t="n">
        <v>4577</v>
      </c>
      <c r="G121" s="9" t="n">
        <v>17</v>
      </c>
      <c r="H121" s="9" t="n">
        <v>578110.3</v>
      </c>
      <c r="I121" s="9" t="n">
        <v>2114</v>
      </c>
      <c r="J121" s="9" t="n">
        <v>60137</v>
      </c>
      <c r="K121" s="9" t="n">
        <v>50450</v>
      </c>
      <c r="L121" s="9" t="n">
        <v>0</v>
      </c>
      <c r="M121" s="10" t="n">
        <f aca="false">IFERROR(D121/C121,0)</f>
        <v>0.316023738872404</v>
      </c>
      <c r="N121" s="10" t="n">
        <f aca="false">IFERROR(E121/C121,0)</f>
        <v>0.471810089020772</v>
      </c>
      <c r="O121" s="11" t="n">
        <f aca="false">IFERROR(F121/MAX(C121-D121,1),0)</f>
        <v>9.92841648590022</v>
      </c>
      <c r="P121" s="11" t="n">
        <f aca="false">IFERROR(F121/C121,0)</f>
        <v>6.79080118694362</v>
      </c>
      <c r="Q121" s="11" t="n">
        <f aca="false">IFERROR(H121/C121,0)</f>
        <v>857.730415430267</v>
      </c>
      <c r="R121" s="10" t="n">
        <f aca="false">IFERROR(I121/F121,0)</f>
        <v>0.461874590343019</v>
      </c>
      <c r="S121" s="10" t="n">
        <f aca="false">IFERROR(K121/J121,0)</f>
        <v>0.838917804346742</v>
      </c>
      <c r="T121" s="12" t="s">
        <v>30</v>
      </c>
    </row>
    <row r="122" customFormat="false" ht="15" hidden="false" customHeight="false" outlineLevel="0" collapsed="false">
      <c r="A122" s="3" t="s">
        <v>155</v>
      </c>
      <c r="B122" s="3" t="s">
        <v>26</v>
      </c>
      <c r="C122" s="3" t="n">
        <v>3688</v>
      </c>
      <c r="D122" s="3" t="n">
        <v>226</v>
      </c>
      <c r="E122" s="3" t="n">
        <v>922</v>
      </c>
      <c r="F122" s="3" t="n">
        <v>8509</v>
      </c>
      <c r="G122" s="3" t="n">
        <v>11</v>
      </c>
      <c r="H122" s="3" t="n">
        <v>1660607.7</v>
      </c>
      <c r="I122" s="3" t="n">
        <v>1673</v>
      </c>
      <c r="J122" s="3" t="n">
        <v>343051</v>
      </c>
      <c r="K122" s="3" t="n">
        <v>40189</v>
      </c>
      <c r="L122" s="3" t="n">
        <v>1093</v>
      </c>
      <c r="M122" s="4" t="n">
        <f aca="false">IFERROR(D122/C122,0)</f>
        <v>0.0612798264642082</v>
      </c>
      <c r="N122" s="4" t="n">
        <f aca="false">IFERROR(E122/C122,0)</f>
        <v>0.25</v>
      </c>
      <c r="O122" s="5" t="n">
        <f aca="false">IFERROR(F122/MAX(C122-D122,1),0)</f>
        <v>2.4578278451762</v>
      </c>
      <c r="P122" s="5" t="n">
        <f aca="false">IFERROR(F122/C122,0)</f>
        <v>2.3072125813449</v>
      </c>
      <c r="Q122" s="5" t="n">
        <f aca="false">IFERROR(H122/C122,0)</f>
        <v>450.273237527115</v>
      </c>
      <c r="R122" s="4" t="n">
        <f aca="false">IFERROR(I122/F122,0)</f>
        <v>0.196615348454578</v>
      </c>
      <c r="S122" s="4" t="n">
        <f aca="false">IFERROR(K122/J122,0)</f>
        <v>0.117151677155875</v>
      </c>
      <c r="T122" s="6" t="s">
        <v>23</v>
      </c>
    </row>
    <row r="123" customFormat="false" ht="15" hidden="false" customHeight="false" outlineLevel="0" collapsed="false">
      <c r="A123" s="3" t="s">
        <v>156</v>
      </c>
      <c r="B123" s="3" t="s">
        <v>26</v>
      </c>
      <c r="C123" s="3" t="n">
        <v>2603</v>
      </c>
      <c r="D123" s="3" t="n">
        <v>346</v>
      </c>
      <c r="E123" s="3" t="n">
        <v>1053</v>
      </c>
      <c r="F123" s="3" t="n">
        <v>8773</v>
      </c>
      <c r="G123" s="3" t="n">
        <v>13</v>
      </c>
      <c r="H123" s="3" t="n">
        <v>1573895.1</v>
      </c>
      <c r="I123" s="3" t="n">
        <v>1865</v>
      </c>
      <c r="J123" s="3" t="n">
        <v>294759</v>
      </c>
      <c r="K123" s="3" t="n">
        <v>64743</v>
      </c>
      <c r="L123" s="3" t="n">
        <v>681</v>
      </c>
      <c r="M123" s="4" t="n">
        <f aca="false">IFERROR(D123/C123,0)</f>
        <v>0.132923549750288</v>
      </c>
      <c r="N123" s="4" t="n">
        <f aca="false">IFERROR(E123/C123,0)</f>
        <v>0.404533230887438</v>
      </c>
      <c r="O123" s="5" t="n">
        <f aca="false">IFERROR(F123/MAX(C123-D123,1),0)</f>
        <v>3.88701816570669</v>
      </c>
      <c r="P123" s="5" t="n">
        <f aca="false">IFERROR(F123/C123,0)</f>
        <v>3.3703419131771</v>
      </c>
      <c r="Q123" s="5" t="n">
        <f aca="false">IFERROR(H123/C123,0)</f>
        <v>604.646600076835</v>
      </c>
      <c r="R123" s="4" t="n">
        <f aca="false">IFERROR(I123/F123,0)</f>
        <v>0.212584064744101</v>
      </c>
      <c r="S123" s="4" t="n">
        <f aca="false">IFERROR(K123/J123,0)</f>
        <v>0.219647237234486</v>
      </c>
      <c r="T123" s="6" t="s">
        <v>23</v>
      </c>
    </row>
    <row r="124" customFormat="false" ht="15" hidden="false" customHeight="false" outlineLevel="0" collapsed="false">
      <c r="A124" s="3" t="s">
        <v>157</v>
      </c>
      <c r="B124" s="3" t="s">
        <v>29</v>
      </c>
      <c r="C124" s="3" t="n">
        <v>1626</v>
      </c>
      <c r="D124" s="3" t="n">
        <v>298</v>
      </c>
      <c r="E124" s="3" t="n">
        <v>780</v>
      </c>
      <c r="F124" s="3" t="n">
        <v>7015</v>
      </c>
      <c r="G124" s="3" t="n">
        <v>20</v>
      </c>
      <c r="H124" s="3" t="n">
        <v>802451.8</v>
      </c>
      <c r="I124" s="3" t="n">
        <v>1638</v>
      </c>
      <c r="J124" s="3" t="n">
        <v>261333</v>
      </c>
      <c r="K124" s="3" t="n">
        <v>66535</v>
      </c>
      <c r="L124" s="3" t="n">
        <v>0</v>
      </c>
      <c r="M124" s="4" t="n">
        <f aca="false">IFERROR(D124/C124,0)</f>
        <v>0.183271832718327</v>
      </c>
      <c r="N124" s="4" t="n">
        <f aca="false">IFERROR(E124/C124,0)</f>
        <v>0.479704797047971</v>
      </c>
      <c r="O124" s="5" t="n">
        <f aca="false">IFERROR(F124/MAX(C124-D124,1),0)</f>
        <v>5.28237951807229</v>
      </c>
      <c r="P124" s="5" t="n">
        <f aca="false">IFERROR(F124/C124,0)</f>
        <v>4.31426814268143</v>
      </c>
      <c r="Q124" s="5" t="n">
        <f aca="false">IFERROR(H124/C124,0)</f>
        <v>493.512792127921</v>
      </c>
      <c r="R124" s="4" t="n">
        <f aca="false">IFERROR(I124/F124,0)</f>
        <v>0.233499643620813</v>
      </c>
      <c r="S124" s="4" t="n">
        <f aca="false">IFERROR(K124/J124,0)</f>
        <v>0.254598539028749</v>
      </c>
      <c r="T124" s="6" t="s">
        <v>23</v>
      </c>
    </row>
    <row r="125" customFormat="false" ht="15" hidden="false" customHeight="false" outlineLevel="0" collapsed="false">
      <c r="A125" s="3" t="s">
        <v>158</v>
      </c>
      <c r="B125" s="3" t="s">
        <v>29</v>
      </c>
      <c r="C125" s="3" t="n">
        <v>1765</v>
      </c>
      <c r="D125" s="3" t="n">
        <v>191</v>
      </c>
      <c r="E125" s="3" t="n">
        <v>628</v>
      </c>
      <c r="F125" s="3" t="n">
        <v>5475</v>
      </c>
      <c r="G125" s="3" t="n">
        <v>12</v>
      </c>
      <c r="H125" s="3" t="n">
        <v>1048273.5</v>
      </c>
      <c r="I125" s="3" t="n">
        <v>895</v>
      </c>
      <c r="J125" s="3" t="n">
        <v>225239</v>
      </c>
      <c r="K125" s="3" t="n">
        <v>41509</v>
      </c>
      <c r="L125" s="3" t="n">
        <v>0</v>
      </c>
      <c r="M125" s="4" t="n">
        <f aca="false">IFERROR(D125/C125,0)</f>
        <v>0.108215297450425</v>
      </c>
      <c r="N125" s="4" t="n">
        <f aca="false">IFERROR(E125/C125,0)</f>
        <v>0.355807365439093</v>
      </c>
      <c r="O125" s="5" t="n">
        <f aca="false">IFERROR(F125/MAX(C125-D125,1),0)</f>
        <v>3.47839898348158</v>
      </c>
      <c r="P125" s="5" t="n">
        <f aca="false">IFERROR(F125/C125,0)</f>
        <v>3.10198300283286</v>
      </c>
      <c r="Q125" s="5" t="n">
        <f aca="false">IFERROR(H125/C125,0)</f>
        <v>593.922662889518</v>
      </c>
      <c r="R125" s="4" t="n">
        <f aca="false">IFERROR(I125/F125,0)</f>
        <v>0.163470319634703</v>
      </c>
      <c r="S125" s="4" t="n">
        <f aca="false">IFERROR(K125/J125,0)</f>
        <v>0.184288688903787</v>
      </c>
      <c r="T125" s="6" t="s">
        <v>23</v>
      </c>
    </row>
    <row r="126" customFormat="false" ht="15" hidden="false" customHeight="false" outlineLevel="0" collapsed="false">
      <c r="A126" s="9" t="s">
        <v>159</v>
      </c>
      <c r="B126" s="9" t="s">
        <v>22</v>
      </c>
      <c r="C126" s="9" t="n">
        <v>1225</v>
      </c>
      <c r="D126" s="9" t="n">
        <v>302</v>
      </c>
      <c r="E126" s="9" t="n">
        <v>487</v>
      </c>
      <c r="F126" s="9" t="n">
        <v>7724</v>
      </c>
      <c r="G126" s="9" t="n">
        <v>25</v>
      </c>
      <c r="H126" s="9" t="n">
        <v>1799091.8</v>
      </c>
      <c r="I126" s="9" t="n">
        <v>4874</v>
      </c>
      <c r="J126" s="9" t="n">
        <v>227282</v>
      </c>
      <c r="K126" s="9" t="n">
        <v>151208</v>
      </c>
      <c r="L126" s="9" t="n">
        <v>461</v>
      </c>
      <c r="M126" s="10" t="n">
        <f aca="false">IFERROR(D126/C126,0)</f>
        <v>0.246530612244898</v>
      </c>
      <c r="N126" s="10" t="n">
        <f aca="false">IFERROR(E126/C126,0)</f>
        <v>0.397551020408163</v>
      </c>
      <c r="O126" s="11" t="n">
        <f aca="false">IFERROR(F126/MAX(C126-D126,1),0)</f>
        <v>8.36836403033586</v>
      </c>
      <c r="P126" s="11" t="n">
        <f aca="false">IFERROR(F126/C126,0)</f>
        <v>6.30530612244898</v>
      </c>
      <c r="Q126" s="11" t="n">
        <f aca="false">IFERROR(H126/C126,0)</f>
        <v>1468.64636734694</v>
      </c>
      <c r="R126" s="10" t="n">
        <f aca="false">IFERROR(I126/F126,0)</f>
        <v>0.631020196789228</v>
      </c>
      <c r="S126" s="10" t="n">
        <f aca="false">IFERROR(K126/J126,0)</f>
        <v>0.665288056247305</v>
      </c>
      <c r="T126" s="12" t="s">
        <v>30</v>
      </c>
    </row>
    <row r="127" customFormat="false" ht="15" hidden="false" customHeight="false" outlineLevel="0" collapsed="false">
      <c r="A127" s="3" t="s">
        <v>160</v>
      </c>
      <c r="B127" s="3" t="s">
        <v>22</v>
      </c>
      <c r="C127" s="3" t="n">
        <v>2854</v>
      </c>
      <c r="D127" s="3" t="n">
        <v>360</v>
      </c>
      <c r="E127" s="3" t="n">
        <v>978</v>
      </c>
      <c r="F127" s="3" t="n">
        <v>10660</v>
      </c>
      <c r="G127" s="3" t="n">
        <v>17</v>
      </c>
      <c r="H127" s="3" t="n">
        <v>933004.4</v>
      </c>
      <c r="I127" s="3" t="n">
        <v>1834</v>
      </c>
      <c r="J127" s="3" t="n">
        <v>469239</v>
      </c>
      <c r="K127" s="3" t="n">
        <v>65632</v>
      </c>
      <c r="L127" s="3" t="n">
        <v>994</v>
      </c>
      <c r="M127" s="4" t="n">
        <f aca="false">IFERROR(D127/C127,0)</f>
        <v>0.126138752627891</v>
      </c>
      <c r="N127" s="4" t="n">
        <f aca="false">IFERROR(E127/C127,0)</f>
        <v>0.342676944639103</v>
      </c>
      <c r="O127" s="5" t="n">
        <f aca="false">IFERROR(F127/MAX(C127-D127,1),0)</f>
        <v>4.27425821972735</v>
      </c>
      <c r="P127" s="5" t="n">
        <f aca="false">IFERROR(F127/C127,0)</f>
        <v>3.73510861948143</v>
      </c>
      <c r="Q127" s="5" t="n">
        <f aca="false">IFERROR(H127/C127,0)</f>
        <v>326.911142256482</v>
      </c>
      <c r="R127" s="4" t="n">
        <f aca="false">IFERROR(I127/F127,0)</f>
        <v>0.172045028142589</v>
      </c>
      <c r="S127" s="4" t="n">
        <f aca="false">IFERROR(K127/J127,0)</f>
        <v>0.139869021969615</v>
      </c>
      <c r="T127" s="6" t="s">
        <v>23</v>
      </c>
    </row>
    <row r="128" customFormat="false" ht="15" hidden="false" customHeight="false" outlineLevel="0" collapsed="false">
      <c r="A128" s="3" t="s">
        <v>161</v>
      </c>
      <c r="B128" s="3" t="s">
        <v>22</v>
      </c>
      <c r="C128" s="3" t="n">
        <v>2856</v>
      </c>
      <c r="D128" s="3" t="n">
        <v>244</v>
      </c>
      <c r="E128" s="3" t="n">
        <v>837</v>
      </c>
      <c r="F128" s="3" t="n">
        <v>11269</v>
      </c>
      <c r="G128" s="3" t="n">
        <v>16</v>
      </c>
      <c r="H128" s="3" t="n">
        <v>1566612.4</v>
      </c>
      <c r="I128" s="3" t="n">
        <v>2582</v>
      </c>
      <c r="J128" s="3" t="n">
        <v>422247</v>
      </c>
      <c r="K128" s="3" t="n">
        <v>86089</v>
      </c>
      <c r="L128" s="3" t="n">
        <v>661</v>
      </c>
      <c r="M128" s="4" t="n">
        <f aca="false">IFERROR(D128/C128,0)</f>
        <v>0.0854341736694678</v>
      </c>
      <c r="N128" s="4" t="n">
        <f aca="false">IFERROR(E128/C128,0)</f>
        <v>0.293067226890756</v>
      </c>
      <c r="O128" s="5" t="n">
        <f aca="false">IFERROR(F128/MAX(C128-D128,1),0)</f>
        <v>4.31431852986218</v>
      </c>
      <c r="P128" s="5" t="n">
        <f aca="false">IFERROR(F128/C128,0)</f>
        <v>3.94572829131653</v>
      </c>
      <c r="Q128" s="5" t="n">
        <f aca="false">IFERROR(H128/C128,0)</f>
        <v>548.533753501401</v>
      </c>
      <c r="R128" s="4" t="n">
        <f aca="false">IFERROR(I128/F128,0)</f>
        <v>0.229124145886947</v>
      </c>
      <c r="S128" s="4" t="n">
        <f aca="false">IFERROR(K128/J128,0)</f>
        <v>0.203883035285035</v>
      </c>
      <c r="T128" s="6" t="s">
        <v>23</v>
      </c>
    </row>
    <row r="129" customFormat="false" ht="15" hidden="false" customHeight="false" outlineLevel="0" collapsed="false">
      <c r="A129" s="3" t="s">
        <v>162</v>
      </c>
      <c r="B129" s="3" t="s">
        <v>29</v>
      </c>
      <c r="C129" s="3" t="n">
        <v>1150</v>
      </c>
      <c r="D129" s="3" t="n">
        <v>132</v>
      </c>
      <c r="E129" s="3" t="n">
        <v>470</v>
      </c>
      <c r="F129" s="3" t="n">
        <v>2608</v>
      </c>
      <c r="G129" s="3" t="n">
        <v>10</v>
      </c>
      <c r="H129" s="3" t="n">
        <v>363053.3</v>
      </c>
      <c r="I129" s="3" t="n">
        <v>457</v>
      </c>
      <c r="J129" s="3" t="n">
        <v>192670</v>
      </c>
      <c r="K129" s="3" t="n">
        <v>34718</v>
      </c>
      <c r="L129" s="3" t="n">
        <v>0</v>
      </c>
      <c r="M129" s="4" t="n">
        <f aca="false">IFERROR(D129/C129,0)</f>
        <v>0.114782608695652</v>
      </c>
      <c r="N129" s="4" t="n">
        <f aca="false">IFERROR(E129/C129,0)</f>
        <v>0.408695652173913</v>
      </c>
      <c r="O129" s="5" t="n">
        <f aca="false">IFERROR(F129/MAX(C129-D129,1),0)</f>
        <v>2.56188605108055</v>
      </c>
      <c r="P129" s="5" t="n">
        <f aca="false">IFERROR(F129/C129,0)</f>
        <v>2.26782608695652</v>
      </c>
      <c r="Q129" s="5" t="n">
        <f aca="false">IFERROR(H129/C129,0)</f>
        <v>315.69852173913</v>
      </c>
      <c r="R129" s="4" t="n">
        <f aca="false">IFERROR(I129/F129,0)</f>
        <v>0.175230061349693</v>
      </c>
      <c r="S129" s="4" t="n">
        <f aca="false">IFERROR(K129/J129,0)</f>
        <v>0.18019411428868</v>
      </c>
      <c r="T129" s="6" t="s">
        <v>23</v>
      </c>
    </row>
    <row r="130" customFormat="false" ht="15" hidden="false" customHeight="false" outlineLevel="0" collapsed="false">
      <c r="A130" s="3" t="s">
        <v>163</v>
      </c>
      <c r="B130" s="3" t="s">
        <v>22</v>
      </c>
      <c r="C130" s="3" t="n">
        <v>2015</v>
      </c>
      <c r="D130" s="3" t="n">
        <v>214</v>
      </c>
      <c r="E130" s="3" t="n">
        <v>816</v>
      </c>
      <c r="F130" s="3" t="n">
        <v>6367</v>
      </c>
      <c r="G130" s="3" t="n">
        <v>11</v>
      </c>
      <c r="H130" s="3" t="n">
        <v>1108431</v>
      </c>
      <c r="I130" s="3" t="n">
        <v>1200</v>
      </c>
      <c r="J130" s="3" t="n">
        <v>206029</v>
      </c>
      <c r="K130" s="3" t="n">
        <v>19108</v>
      </c>
      <c r="L130" s="3" t="n">
        <v>418</v>
      </c>
      <c r="M130" s="4" t="n">
        <f aca="false">IFERROR(D130/C130,0)</f>
        <v>0.106203473945409</v>
      </c>
      <c r="N130" s="4" t="n">
        <f aca="false">IFERROR(E130/C130,0)</f>
        <v>0.404962779156328</v>
      </c>
      <c r="O130" s="5" t="n">
        <f aca="false">IFERROR(F130/MAX(C130-D130,1),0)</f>
        <v>3.5352581898945</v>
      </c>
      <c r="P130" s="5" t="n">
        <f aca="false">IFERROR(F130/C130,0)</f>
        <v>3.15980148883375</v>
      </c>
      <c r="Q130" s="5" t="n">
        <f aca="false">IFERROR(H130/C130,0)</f>
        <v>550.08982630273</v>
      </c>
      <c r="R130" s="4" t="n">
        <f aca="false">IFERROR(I130/F130,0)</f>
        <v>0.188471807758756</v>
      </c>
      <c r="S130" s="4" t="n">
        <f aca="false">IFERROR(K130/J130,0)</f>
        <v>0.0927442253275024</v>
      </c>
      <c r="T130" s="6" t="s">
        <v>23</v>
      </c>
    </row>
    <row r="131" customFormat="false" ht="15" hidden="false" customHeight="false" outlineLevel="0" collapsed="false">
      <c r="A131" s="3" t="s">
        <v>164</v>
      </c>
      <c r="B131" s="3" t="s">
        <v>29</v>
      </c>
      <c r="C131" s="3" t="n">
        <v>1793</v>
      </c>
      <c r="D131" s="3" t="n">
        <v>121</v>
      </c>
      <c r="E131" s="3" t="n">
        <v>459</v>
      </c>
      <c r="F131" s="3" t="n">
        <v>3952</v>
      </c>
      <c r="G131" s="3" t="n">
        <v>10</v>
      </c>
      <c r="H131" s="3" t="n">
        <v>816824.3</v>
      </c>
      <c r="I131" s="3" t="n">
        <v>783</v>
      </c>
      <c r="J131" s="3" t="n">
        <v>225340</v>
      </c>
      <c r="K131" s="3" t="n">
        <v>37749</v>
      </c>
      <c r="L131" s="3" t="n">
        <v>0</v>
      </c>
      <c r="M131" s="4" t="n">
        <f aca="false">IFERROR(D131/C131,0)</f>
        <v>0.0674846625766871</v>
      </c>
      <c r="N131" s="4" t="n">
        <f aca="false">IFERROR(E131/C131,0)</f>
        <v>0.255995538204127</v>
      </c>
      <c r="O131" s="5" t="n">
        <f aca="false">IFERROR(F131/MAX(C131-D131,1),0)</f>
        <v>2.36363636363636</v>
      </c>
      <c r="P131" s="5" t="n">
        <f aca="false">IFERROR(F131/C131,0)</f>
        <v>2.20412716118238</v>
      </c>
      <c r="Q131" s="5" t="n">
        <f aca="false">IFERROR(H131/C131,0)</f>
        <v>455.562911321807</v>
      </c>
      <c r="R131" s="4" t="n">
        <f aca="false">IFERROR(I131/F131,0)</f>
        <v>0.198127530364372</v>
      </c>
      <c r="S131" s="4" t="n">
        <f aca="false">IFERROR(K131/J131,0)</f>
        <v>0.167520191710304</v>
      </c>
      <c r="T131" s="6" t="s">
        <v>23</v>
      </c>
    </row>
    <row r="132" customFormat="false" ht="15" hidden="false" customHeight="false" outlineLevel="0" collapsed="false">
      <c r="A132" s="3" t="s">
        <v>165</v>
      </c>
      <c r="B132" s="3" t="s">
        <v>26</v>
      </c>
      <c r="C132" s="3" t="n">
        <v>191</v>
      </c>
      <c r="D132" s="3" t="n">
        <v>28</v>
      </c>
      <c r="E132" s="3" t="n">
        <v>77</v>
      </c>
      <c r="F132" s="3" t="n">
        <v>465</v>
      </c>
      <c r="G132" s="3" t="n">
        <v>9</v>
      </c>
      <c r="H132" s="3" t="n">
        <v>75594</v>
      </c>
      <c r="I132" s="3" t="n">
        <v>97</v>
      </c>
      <c r="J132" s="3" t="n">
        <v>16804</v>
      </c>
      <c r="K132" s="3" t="n">
        <v>2950</v>
      </c>
      <c r="L132" s="3" t="n">
        <v>47</v>
      </c>
      <c r="M132" s="4" t="n">
        <f aca="false">IFERROR(D132/C132,0)</f>
        <v>0.146596858638743</v>
      </c>
      <c r="N132" s="4" t="n">
        <f aca="false">IFERROR(E132/C132,0)</f>
        <v>0.403141361256545</v>
      </c>
      <c r="O132" s="5" t="n">
        <f aca="false">IFERROR(F132/MAX(C132-D132,1),0)</f>
        <v>2.85276073619632</v>
      </c>
      <c r="P132" s="5" t="n">
        <f aca="false">IFERROR(F132/C132,0)</f>
        <v>2.43455497382199</v>
      </c>
      <c r="Q132" s="5" t="n">
        <f aca="false">IFERROR(H132/C132,0)</f>
        <v>395.780104712042</v>
      </c>
      <c r="R132" s="4" t="n">
        <f aca="false">IFERROR(I132/F132,0)</f>
        <v>0.208602150537634</v>
      </c>
      <c r="S132" s="4" t="n">
        <f aca="false">IFERROR(K132/J132,0)</f>
        <v>0.175553439657224</v>
      </c>
      <c r="T132" s="6" t="s">
        <v>23</v>
      </c>
    </row>
    <row r="133" customFormat="false" ht="15" hidden="false" customHeight="false" outlineLevel="0" collapsed="false">
      <c r="A133" s="3" t="s">
        <v>166</v>
      </c>
      <c r="B133" s="3" t="s">
        <v>22</v>
      </c>
      <c r="C133" s="3" t="n">
        <v>1077</v>
      </c>
      <c r="D133" s="3" t="n">
        <v>135</v>
      </c>
      <c r="E133" s="3" t="n">
        <v>409</v>
      </c>
      <c r="F133" s="3" t="n">
        <v>3167</v>
      </c>
      <c r="G133" s="3" t="n">
        <v>10</v>
      </c>
      <c r="H133" s="3" t="n">
        <v>435146.3</v>
      </c>
      <c r="I133" s="3" t="n">
        <v>772</v>
      </c>
      <c r="J133" s="3" t="n">
        <v>130351</v>
      </c>
      <c r="K133" s="3" t="n">
        <v>29082</v>
      </c>
      <c r="L133" s="3" t="n">
        <v>221</v>
      </c>
      <c r="M133" s="4" t="n">
        <f aca="false">IFERROR(D133/C133,0)</f>
        <v>0.125348189415042</v>
      </c>
      <c r="N133" s="4" t="n">
        <f aca="false">IFERROR(E133/C133,0)</f>
        <v>0.379758588672238</v>
      </c>
      <c r="O133" s="5" t="n">
        <f aca="false">IFERROR(F133/MAX(C133-D133,1),0)</f>
        <v>3.3619957537155</v>
      </c>
      <c r="P133" s="5" t="n">
        <f aca="false">IFERROR(F133/C133,0)</f>
        <v>2.9405756731662</v>
      </c>
      <c r="Q133" s="5" t="n">
        <f aca="false">IFERROR(H133/C133,0)</f>
        <v>404.03556174559</v>
      </c>
      <c r="R133" s="4" t="n">
        <f aca="false">IFERROR(I133/F133,0)</f>
        <v>0.243763814335333</v>
      </c>
      <c r="S133" s="4" t="n">
        <f aca="false">IFERROR(K133/J133,0)</f>
        <v>0.223105307976157</v>
      </c>
      <c r="T133" s="6" t="s">
        <v>23</v>
      </c>
    </row>
    <row r="134" customFormat="false" ht="15" hidden="false" customHeight="false" outlineLevel="0" collapsed="false">
      <c r="A134" s="9" t="s">
        <v>167</v>
      </c>
      <c r="B134" s="9" t="s">
        <v>29</v>
      </c>
      <c r="C134" s="9" t="n">
        <v>1477</v>
      </c>
      <c r="D134" s="9" t="n">
        <v>74</v>
      </c>
      <c r="E134" s="9" t="n">
        <v>402</v>
      </c>
      <c r="F134" s="9" t="n">
        <v>6374</v>
      </c>
      <c r="G134" s="9" t="n">
        <v>11</v>
      </c>
      <c r="H134" s="9" t="n">
        <v>1173022.6</v>
      </c>
      <c r="I134" s="9" t="n">
        <v>5414</v>
      </c>
      <c r="J134" s="9" t="n">
        <v>268433</v>
      </c>
      <c r="K134" s="9" t="n">
        <v>228792</v>
      </c>
      <c r="L134" s="9" t="n">
        <v>0</v>
      </c>
      <c r="M134" s="10" t="n">
        <f aca="false">IFERROR(D134/C134,0)</f>
        <v>0.050101557210562</v>
      </c>
      <c r="N134" s="10" t="n">
        <f aca="false">IFERROR(E134/C134,0)</f>
        <v>0.272173324306026</v>
      </c>
      <c r="O134" s="11" t="n">
        <f aca="false">IFERROR(F134/MAX(C134-D134,1),0)</f>
        <v>4.54312188168211</v>
      </c>
      <c r="P134" s="11" t="n">
        <f aca="false">IFERROR(F134/C134,0)</f>
        <v>4.31550440081246</v>
      </c>
      <c r="Q134" s="11" t="n">
        <f aca="false">IFERROR(H134/C134,0)</f>
        <v>794.19268788084</v>
      </c>
      <c r="R134" s="10" t="n">
        <f aca="false">IFERROR(I134/F134,0)</f>
        <v>0.849388139315971</v>
      </c>
      <c r="S134" s="10" t="n">
        <f aca="false">IFERROR(K134/J134,0)</f>
        <v>0.852324416148536</v>
      </c>
      <c r="T134" s="12" t="s">
        <v>30</v>
      </c>
    </row>
    <row r="135" customFormat="false" ht="15" hidden="false" customHeight="false" outlineLevel="0" collapsed="false">
      <c r="A135" s="9" t="s">
        <v>168</v>
      </c>
      <c r="B135" s="9" t="s">
        <v>22</v>
      </c>
      <c r="C135" s="9" t="n">
        <v>2846</v>
      </c>
      <c r="D135" s="9" t="n">
        <v>1155</v>
      </c>
      <c r="E135" s="9" t="n">
        <v>1717</v>
      </c>
      <c r="F135" s="9" t="n">
        <v>30058</v>
      </c>
      <c r="G135" s="9" t="n">
        <v>28</v>
      </c>
      <c r="H135" s="9" t="n">
        <v>3004960.6</v>
      </c>
      <c r="I135" s="9" t="n">
        <v>19743</v>
      </c>
      <c r="J135" s="9" t="n">
        <v>211798</v>
      </c>
      <c r="K135" s="9" t="n">
        <v>160061</v>
      </c>
      <c r="L135" s="9" t="n">
        <v>623</v>
      </c>
      <c r="M135" s="10" t="n">
        <f aca="false">IFERROR(D135/C135,0)</f>
        <v>0.405832747716093</v>
      </c>
      <c r="N135" s="10" t="n">
        <f aca="false">IFERROR(E135/C135,0)</f>
        <v>0.603302881236824</v>
      </c>
      <c r="O135" s="11" t="n">
        <f aca="false">IFERROR(F135/MAX(C135-D135,1),0)</f>
        <v>17.7752808988764</v>
      </c>
      <c r="P135" s="11" t="n">
        <f aca="false">IFERROR(F135/C135,0)</f>
        <v>10.56148981026</v>
      </c>
      <c r="Q135" s="11" t="n">
        <f aca="false">IFERROR(H135/C135,0)</f>
        <v>1055.85404075896</v>
      </c>
      <c r="R135" s="10" t="n">
        <f aca="false">IFERROR(I135/F135,0)</f>
        <v>0.656830128418391</v>
      </c>
      <c r="S135" s="10" t="n">
        <f aca="false">IFERROR(K135/J135,0)</f>
        <v>0.75572479437955</v>
      </c>
      <c r="T135" s="12" t="s">
        <v>30</v>
      </c>
    </row>
    <row r="136" customFormat="false" ht="15" hidden="false" customHeight="false" outlineLevel="0" collapsed="false">
      <c r="A136" s="3" t="s">
        <v>169</v>
      </c>
      <c r="B136" s="3" t="s">
        <v>26</v>
      </c>
      <c r="C136" s="3" t="n">
        <v>582</v>
      </c>
      <c r="D136" s="3" t="n">
        <v>68</v>
      </c>
      <c r="E136" s="3" t="n">
        <v>252</v>
      </c>
      <c r="F136" s="3" t="n">
        <v>2315</v>
      </c>
      <c r="G136" s="3" t="n">
        <v>17</v>
      </c>
      <c r="H136" s="3" t="n">
        <v>303615.4</v>
      </c>
      <c r="I136" s="3" t="n">
        <v>624</v>
      </c>
      <c r="J136" s="3" t="n">
        <v>97098</v>
      </c>
      <c r="K136" s="3" t="n">
        <v>18260</v>
      </c>
      <c r="L136" s="3" t="n">
        <v>267</v>
      </c>
      <c r="M136" s="4" t="n">
        <f aca="false">IFERROR(D136/C136,0)</f>
        <v>0.116838487972509</v>
      </c>
      <c r="N136" s="4" t="n">
        <f aca="false">IFERROR(E136/C136,0)</f>
        <v>0.43298969072165</v>
      </c>
      <c r="O136" s="5" t="n">
        <f aca="false">IFERROR(F136/MAX(C136-D136,1),0)</f>
        <v>4.50389105058366</v>
      </c>
      <c r="P136" s="5" t="n">
        <f aca="false">IFERROR(F136/C136,0)</f>
        <v>3.97766323024055</v>
      </c>
      <c r="Q136" s="5" t="n">
        <f aca="false">IFERROR(H136/C136,0)</f>
        <v>521.675945017182</v>
      </c>
      <c r="R136" s="4" t="n">
        <f aca="false">IFERROR(I136/F136,0)</f>
        <v>0.269546436285097</v>
      </c>
      <c r="S136" s="4" t="n">
        <f aca="false">IFERROR(K136/J136,0)</f>
        <v>0.188057426517539</v>
      </c>
      <c r="T136" s="6" t="s">
        <v>23</v>
      </c>
    </row>
    <row r="137" customFormat="false" ht="15" hidden="false" customHeight="false" outlineLevel="0" collapsed="false">
      <c r="A137" s="3" t="s">
        <v>170</v>
      </c>
      <c r="B137" s="3" t="s">
        <v>29</v>
      </c>
      <c r="C137" s="3" t="n">
        <v>3444</v>
      </c>
      <c r="D137" s="3" t="n">
        <v>424</v>
      </c>
      <c r="E137" s="3" t="n">
        <v>1455</v>
      </c>
      <c r="F137" s="3" t="n">
        <v>7883</v>
      </c>
      <c r="G137" s="3" t="n">
        <v>10</v>
      </c>
      <c r="H137" s="3" t="n">
        <v>1651158.5</v>
      </c>
      <c r="I137" s="3" t="n">
        <v>1407</v>
      </c>
      <c r="J137" s="3" t="n">
        <v>381064</v>
      </c>
      <c r="K137" s="3" t="n">
        <v>85470</v>
      </c>
      <c r="L137" s="3" t="n">
        <v>0</v>
      </c>
      <c r="M137" s="4" t="n">
        <f aca="false">IFERROR(D137/C137,0)</f>
        <v>0.123112659698026</v>
      </c>
      <c r="N137" s="4" t="n">
        <f aca="false">IFERROR(E137/C137,0)</f>
        <v>0.422473867595819</v>
      </c>
      <c r="O137" s="5" t="n">
        <f aca="false">IFERROR(F137/MAX(C137-D137,1),0)</f>
        <v>2.61026490066225</v>
      </c>
      <c r="P137" s="5" t="n">
        <f aca="false">IFERROR(F137/C137,0)</f>
        <v>2.28890824622532</v>
      </c>
      <c r="Q137" s="5" t="n">
        <f aca="false">IFERROR(H137/C137,0)</f>
        <v>479.430458768873</v>
      </c>
      <c r="R137" s="4" t="n">
        <f aca="false">IFERROR(I137/F137,0)</f>
        <v>0.178485348217684</v>
      </c>
      <c r="S137" s="4" t="n">
        <f aca="false">IFERROR(K137/J137,0)</f>
        <v>0.224293032141583</v>
      </c>
      <c r="T137" s="6" t="s">
        <v>23</v>
      </c>
    </row>
    <row r="138" customFormat="false" ht="15" hidden="false" customHeight="false" outlineLevel="0" collapsed="false">
      <c r="A138" s="3" t="s">
        <v>171</v>
      </c>
      <c r="B138" s="3" t="s">
        <v>22</v>
      </c>
      <c r="C138" s="3" t="n">
        <v>3249</v>
      </c>
      <c r="D138" s="3" t="n">
        <v>468</v>
      </c>
      <c r="E138" s="3" t="n">
        <v>1223</v>
      </c>
      <c r="F138" s="3" t="n">
        <v>11705</v>
      </c>
      <c r="G138" s="3" t="n">
        <v>15</v>
      </c>
      <c r="H138" s="3" t="n">
        <v>1690787.7</v>
      </c>
      <c r="I138" s="3" t="n">
        <v>2125</v>
      </c>
      <c r="J138" s="3" t="n">
        <v>261502</v>
      </c>
      <c r="K138" s="3" t="n">
        <v>60015</v>
      </c>
      <c r="L138" s="3" t="n">
        <v>1228</v>
      </c>
      <c r="M138" s="4" t="n">
        <f aca="false">IFERROR(D138/C138,0)</f>
        <v>0.14404432132964</v>
      </c>
      <c r="N138" s="4" t="n">
        <f aca="false">IFERROR(E138/C138,0)</f>
        <v>0.37642351492767</v>
      </c>
      <c r="O138" s="5" t="n">
        <f aca="false">IFERROR(F138/MAX(C138-D138,1),0)</f>
        <v>4.2089176555196</v>
      </c>
      <c r="P138" s="5" t="n">
        <f aca="false">IFERROR(F138/C138,0)</f>
        <v>3.60264696829794</v>
      </c>
      <c r="Q138" s="5" t="n">
        <f aca="false">IFERROR(H138/C138,0)</f>
        <v>520.402493074792</v>
      </c>
      <c r="R138" s="4" t="n">
        <f aca="false">IFERROR(I138/F138,0)</f>
        <v>0.181546347714652</v>
      </c>
      <c r="S138" s="4" t="n">
        <f aca="false">IFERROR(K138/J138,0)</f>
        <v>0.229501112802197</v>
      </c>
      <c r="T138" s="6" t="s">
        <v>23</v>
      </c>
    </row>
    <row r="139" customFormat="false" ht="15" hidden="false" customHeight="false" outlineLevel="0" collapsed="false">
      <c r="A139" s="3" t="s">
        <v>172</v>
      </c>
      <c r="B139" s="3" t="s">
        <v>29</v>
      </c>
      <c r="C139" s="3" t="n">
        <v>1267</v>
      </c>
      <c r="D139" s="3" t="n">
        <v>62</v>
      </c>
      <c r="E139" s="3" t="n">
        <v>496</v>
      </c>
      <c r="F139" s="3" t="n">
        <v>1609</v>
      </c>
      <c r="G139" s="3" t="n">
        <v>9</v>
      </c>
      <c r="H139" s="3" t="n">
        <v>458233.7</v>
      </c>
      <c r="I139" s="3" t="n">
        <v>250</v>
      </c>
      <c r="J139" s="3" t="n">
        <v>240582</v>
      </c>
      <c r="K139" s="3" t="n">
        <v>46722</v>
      </c>
      <c r="L139" s="3" t="n">
        <v>0</v>
      </c>
      <c r="M139" s="4" t="n">
        <f aca="false">IFERROR(D139/C139,0)</f>
        <v>0.0489344909234412</v>
      </c>
      <c r="N139" s="4" t="n">
        <f aca="false">IFERROR(E139/C139,0)</f>
        <v>0.39147592738753</v>
      </c>
      <c r="O139" s="5" t="n">
        <f aca="false">IFERROR(F139/MAX(C139-D139,1),0)</f>
        <v>1.33526970954357</v>
      </c>
      <c r="P139" s="5" t="n">
        <f aca="false">IFERROR(F139/C139,0)</f>
        <v>1.26992896606156</v>
      </c>
      <c r="Q139" s="5" t="n">
        <f aca="false">IFERROR(H139/C139,0)</f>
        <v>361.668271507498</v>
      </c>
      <c r="R139" s="4" t="n">
        <f aca="false">IFERROR(I139/F139,0)</f>
        <v>0.155376009944065</v>
      </c>
      <c r="S139" s="4" t="n">
        <f aca="false">IFERROR(K139/J139,0)</f>
        <v>0.194204055166222</v>
      </c>
      <c r="T139" s="6" t="s">
        <v>23</v>
      </c>
    </row>
    <row r="140" customFormat="false" ht="15" hidden="false" customHeight="false" outlineLevel="0" collapsed="false">
      <c r="A140" s="3" t="s">
        <v>173</v>
      </c>
      <c r="B140" s="3" t="s">
        <v>22</v>
      </c>
      <c r="C140" s="3" t="n">
        <v>1312</v>
      </c>
      <c r="D140" s="3" t="n">
        <v>111</v>
      </c>
      <c r="E140" s="3" t="n">
        <v>373</v>
      </c>
      <c r="F140" s="3" t="n">
        <v>2653</v>
      </c>
      <c r="G140" s="3" t="n">
        <v>10</v>
      </c>
      <c r="H140" s="3" t="n">
        <v>571540.5</v>
      </c>
      <c r="I140" s="3" t="n">
        <v>392</v>
      </c>
      <c r="J140" s="3" t="n">
        <v>197455</v>
      </c>
      <c r="K140" s="3" t="n">
        <v>30281</v>
      </c>
      <c r="L140" s="3" t="n">
        <v>293</v>
      </c>
      <c r="M140" s="4" t="n">
        <f aca="false">IFERROR(D140/C140,0)</f>
        <v>0.0846036585365854</v>
      </c>
      <c r="N140" s="4" t="n">
        <f aca="false">IFERROR(E140/C140,0)</f>
        <v>0.284298780487805</v>
      </c>
      <c r="O140" s="5" t="n">
        <f aca="false">IFERROR(F140/MAX(C140-D140,1),0)</f>
        <v>2.2089925062448</v>
      </c>
      <c r="P140" s="5" t="n">
        <f aca="false">IFERROR(F140/C140,0)</f>
        <v>2.02210365853659</v>
      </c>
      <c r="Q140" s="5" t="n">
        <f aca="false">IFERROR(H140/C140,0)</f>
        <v>435.625381097561</v>
      </c>
      <c r="R140" s="4" t="n">
        <f aca="false">IFERROR(I140/F140,0)</f>
        <v>0.147757255936675</v>
      </c>
      <c r="S140" s="4" t="n">
        <f aca="false">IFERROR(K140/J140,0)</f>
        <v>0.15335646096579</v>
      </c>
      <c r="T140" s="6" t="s">
        <v>23</v>
      </c>
    </row>
    <row r="141" customFormat="false" ht="15" hidden="false" customHeight="false" outlineLevel="0" collapsed="false">
      <c r="A141" s="9" t="s">
        <v>174</v>
      </c>
      <c r="B141" s="9" t="s">
        <v>22</v>
      </c>
      <c r="C141" s="9" t="n">
        <v>648</v>
      </c>
      <c r="D141" s="9" t="n">
        <v>276</v>
      </c>
      <c r="E141" s="9" t="n">
        <v>457</v>
      </c>
      <c r="F141" s="9" t="n">
        <v>2534</v>
      </c>
      <c r="G141" s="9" t="n">
        <v>14</v>
      </c>
      <c r="H141" s="9" t="n">
        <v>522032.5</v>
      </c>
      <c r="I141" s="9" t="n">
        <v>1461</v>
      </c>
      <c r="J141" s="9" t="n">
        <v>68024</v>
      </c>
      <c r="K141" s="9" t="n">
        <v>31657</v>
      </c>
      <c r="L141" s="9" t="n">
        <v>222</v>
      </c>
      <c r="M141" s="10" t="n">
        <f aca="false">IFERROR(D141/C141,0)</f>
        <v>0.425925925925926</v>
      </c>
      <c r="N141" s="10" t="n">
        <f aca="false">IFERROR(E141/C141,0)</f>
        <v>0.705246913580247</v>
      </c>
      <c r="O141" s="11" t="n">
        <f aca="false">IFERROR(F141/MAX(C141-D141,1),0)</f>
        <v>6.81182795698925</v>
      </c>
      <c r="P141" s="11" t="n">
        <f aca="false">IFERROR(F141/C141,0)</f>
        <v>3.91049382716049</v>
      </c>
      <c r="Q141" s="11" t="n">
        <f aca="false">IFERROR(H141/C141,0)</f>
        <v>805.605709876543</v>
      </c>
      <c r="R141" s="10" t="n">
        <f aca="false">IFERROR(I141/F141,0)</f>
        <v>0.576558800315706</v>
      </c>
      <c r="S141" s="10" t="n">
        <f aca="false">IFERROR(K141/J141,0)</f>
        <v>0.465379865929672</v>
      </c>
      <c r="T141" s="12" t="s">
        <v>30</v>
      </c>
    </row>
    <row r="142" customFormat="false" ht="15" hidden="false" customHeight="false" outlineLevel="0" collapsed="false">
      <c r="A142" s="3" t="s">
        <v>175</v>
      </c>
      <c r="B142" s="3" t="s">
        <v>22</v>
      </c>
      <c r="C142" s="3" t="n">
        <v>1633</v>
      </c>
      <c r="D142" s="3" t="n">
        <v>137</v>
      </c>
      <c r="E142" s="3" t="n">
        <v>596</v>
      </c>
      <c r="F142" s="3" t="n">
        <v>1852</v>
      </c>
      <c r="G142" s="3" t="n">
        <v>3</v>
      </c>
      <c r="H142" s="3" t="n">
        <v>790717.7</v>
      </c>
      <c r="I142" s="3" t="n">
        <v>302</v>
      </c>
      <c r="J142" s="3" t="n">
        <v>163002</v>
      </c>
      <c r="K142" s="3" t="n">
        <v>20363</v>
      </c>
      <c r="L142" s="3" t="n">
        <v>369</v>
      </c>
      <c r="M142" s="4" t="n">
        <f aca="false">IFERROR(D142/C142,0)</f>
        <v>0.0838946723821188</v>
      </c>
      <c r="N142" s="4" t="n">
        <f aca="false">IFERROR(E142/C142,0)</f>
        <v>0.364972443355787</v>
      </c>
      <c r="O142" s="5" t="n">
        <f aca="false">IFERROR(F142/MAX(C142-D142,1),0)</f>
        <v>1.2379679144385</v>
      </c>
      <c r="P142" s="5" t="n">
        <f aca="false">IFERROR(F142/C142,0)</f>
        <v>1.13410900183711</v>
      </c>
      <c r="Q142" s="5" t="n">
        <f aca="false">IFERROR(H142/C142,0)</f>
        <v>484.211696264544</v>
      </c>
      <c r="R142" s="4" t="n">
        <f aca="false">IFERROR(I142/F142,0)</f>
        <v>0.163066954643629</v>
      </c>
      <c r="S142" s="4" t="n">
        <f aca="false">IFERROR(K142/J142,0)</f>
        <v>0.124924847547883</v>
      </c>
      <c r="T142" s="6" t="s">
        <v>23</v>
      </c>
    </row>
    <row r="143" customFormat="false" ht="15" hidden="false" customHeight="false" outlineLevel="0" collapsed="false">
      <c r="A143" s="3" t="s">
        <v>176</v>
      </c>
      <c r="B143" s="3" t="s">
        <v>26</v>
      </c>
      <c r="C143" s="3" t="n">
        <v>1532</v>
      </c>
      <c r="D143" s="3" t="n">
        <v>118</v>
      </c>
      <c r="E143" s="3" t="n">
        <v>443</v>
      </c>
      <c r="F143" s="3" t="n">
        <v>3955</v>
      </c>
      <c r="G143" s="3" t="n">
        <v>9</v>
      </c>
      <c r="H143" s="3" t="n">
        <v>393738.3</v>
      </c>
      <c r="I143" s="3" t="n">
        <v>421</v>
      </c>
      <c r="J143" s="3" t="n">
        <v>262885</v>
      </c>
      <c r="K143" s="3" t="n">
        <v>33407</v>
      </c>
      <c r="L143" s="3" t="n">
        <v>309</v>
      </c>
      <c r="M143" s="4" t="n">
        <f aca="false">IFERROR(D143/C143,0)</f>
        <v>0.077023498694517</v>
      </c>
      <c r="N143" s="4" t="n">
        <f aca="false">IFERROR(E143/C143,0)</f>
        <v>0.289164490861619</v>
      </c>
      <c r="O143" s="5" t="n">
        <f aca="false">IFERROR(F143/MAX(C143-D143,1),0)</f>
        <v>2.7970297029703</v>
      </c>
      <c r="P143" s="5" t="n">
        <f aca="false">IFERROR(F143/C143,0)</f>
        <v>2.58159268929504</v>
      </c>
      <c r="Q143" s="5" t="n">
        <f aca="false">IFERROR(H143/C143,0)</f>
        <v>257.009334203655</v>
      </c>
      <c r="R143" s="4" t="n">
        <f aca="false">IFERROR(I143/F143,0)</f>
        <v>0.106447534766119</v>
      </c>
      <c r="S143" s="4" t="n">
        <f aca="false">IFERROR(K143/J143,0)</f>
        <v>0.127078380280351</v>
      </c>
      <c r="T143" s="6" t="s">
        <v>23</v>
      </c>
    </row>
    <row r="144" customFormat="false" ht="15" hidden="false" customHeight="false" outlineLevel="0" collapsed="false">
      <c r="A144" s="9" t="s">
        <v>177</v>
      </c>
      <c r="B144" s="9" t="s">
        <v>26</v>
      </c>
      <c r="C144" s="9" t="n">
        <v>2515</v>
      </c>
      <c r="D144" s="9" t="n">
        <v>513</v>
      </c>
      <c r="E144" s="9" t="n">
        <v>1060</v>
      </c>
      <c r="F144" s="9" t="n">
        <v>15155</v>
      </c>
      <c r="G144" s="9" t="n">
        <v>16</v>
      </c>
      <c r="H144" s="9" t="n">
        <v>2214496.9</v>
      </c>
      <c r="I144" s="9" t="n">
        <v>8617</v>
      </c>
      <c r="J144" s="9" t="n">
        <v>470184</v>
      </c>
      <c r="K144" s="9" t="n">
        <v>330389</v>
      </c>
      <c r="L144" s="9" t="n">
        <v>490</v>
      </c>
      <c r="M144" s="10" t="n">
        <f aca="false">IFERROR(D144/C144,0)</f>
        <v>0.203976143141153</v>
      </c>
      <c r="N144" s="10" t="n">
        <f aca="false">IFERROR(E144/C144,0)</f>
        <v>0.421471172962227</v>
      </c>
      <c r="O144" s="11" t="n">
        <f aca="false">IFERROR(F144/MAX(C144-D144,1),0)</f>
        <v>7.56993006993007</v>
      </c>
      <c r="P144" s="11" t="n">
        <f aca="false">IFERROR(F144/C144,0)</f>
        <v>6.0258449304175</v>
      </c>
      <c r="Q144" s="11" t="n">
        <f aca="false">IFERROR(H144/C144,0)</f>
        <v>880.515666003976</v>
      </c>
      <c r="R144" s="10" t="n">
        <f aca="false">IFERROR(I144/F144,0)</f>
        <v>0.568591224018476</v>
      </c>
      <c r="S144" s="10" t="n">
        <f aca="false">IFERROR(K144/J144,0)</f>
        <v>0.702680227315264</v>
      </c>
      <c r="T144" s="12" t="s">
        <v>30</v>
      </c>
    </row>
    <row r="145" customFormat="false" ht="15" hidden="false" customHeight="false" outlineLevel="0" collapsed="false">
      <c r="A145" s="3" t="s">
        <v>178</v>
      </c>
      <c r="B145" s="3" t="s">
        <v>26</v>
      </c>
      <c r="C145" s="3" t="n">
        <v>3549</v>
      </c>
      <c r="D145" s="3" t="n">
        <v>129</v>
      </c>
      <c r="E145" s="3" t="n">
        <v>853</v>
      </c>
      <c r="F145" s="3" t="n">
        <v>5553</v>
      </c>
      <c r="G145" s="3" t="n">
        <v>7</v>
      </c>
      <c r="H145" s="3" t="n">
        <v>1430145.1</v>
      </c>
      <c r="I145" s="3" t="n">
        <v>1358</v>
      </c>
      <c r="J145" s="3" t="n">
        <v>386938</v>
      </c>
      <c r="K145" s="3" t="n">
        <v>75558</v>
      </c>
      <c r="L145" s="3" t="n">
        <v>903</v>
      </c>
      <c r="M145" s="4" t="n">
        <f aca="false">IFERROR(D145/C145,0)</f>
        <v>0.0363482671174979</v>
      </c>
      <c r="N145" s="4" t="n">
        <f aca="false">IFERROR(E145/C145,0)</f>
        <v>0.240349394195548</v>
      </c>
      <c r="O145" s="5" t="n">
        <f aca="false">IFERROR(F145/MAX(C145-D145,1),0)</f>
        <v>1.62368421052632</v>
      </c>
      <c r="P145" s="5" t="n">
        <f aca="false">IFERROR(F145/C145,0)</f>
        <v>1.56466610312764</v>
      </c>
      <c r="Q145" s="5" t="n">
        <f aca="false">IFERROR(H145/C145,0)</f>
        <v>402.971287686672</v>
      </c>
      <c r="R145" s="4" t="n">
        <f aca="false">IFERROR(I145/F145,0)</f>
        <v>0.244552494147308</v>
      </c>
      <c r="S145" s="4" t="n">
        <f aca="false">IFERROR(K145/J145,0)</f>
        <v>0.195271593898764</v>
      </c>
      <c r="T145" s="6" t="s">
        <v>23</v>
      </c>
    </row>
    <row r="146" customFormat="false" ht="15" hidden="false" customHeight="false" outlineLevel="0" collapsed="false">
      <c r="A146" s="3" t="s">
        <v>179</v>
      </c>
      <c r="B146" s="3" t="s">
        <v>26</v>
      </c>
      <c r="C146" s="3" t="n">
        <v>3198</v>
      </c>
      <c r="D146" s="3" t="n">
        <v>311</v>
      </c>
      <c r="E146" s="3" t="n">
        <v>944</v>
      </c>
      <c r="F146" s="3" t="n">
        <v>8878</v>
      </c>
      <c r="G146" s="3" t="n">
        <v>13</v>
      </c>
      <c r="H146" s="3" t="n">
        <v>1239335.8</v>
      </c>
      <c r="I146" s="3" t="n">
        <v>1272</v>
      </c>
      <c r="J146" s="3" t="n">
        <v>355595</v>
      </c>
      <c r="K146" s="3" t="n">
        <v>92621</v>
      </c>
      <c r="L146" s="3" t="n">
        <v>596</v>
      </c>
      <c r="M146" s="4" t="n">
        <f aca="false">IFERROR(D146/C146,0)</f>
        <v>0.0972482801751095</v>
      </c>
      <c r="N146" s="4" t="n">
        <f aca="false">IFERROR(E146/C146,0)</f>
        <v>0.295184490306442</v>
      </c>
      <c r="O146" s="5" t="n">
        <f aca="false">IFERROR(F146/MAX(C146-D146,1),0)</f>
        <v>3.07516453065466</v>
      </c>
      <c r="P146" s="5" t="n">
        <f aca="false">IFERROR(F146/C146,0)</f>
        <v>2.776110068793</v>
      </c>
      <c r="Q146" s="5" t="n">
        <f aca="false">IFERROR(H146/C146,0)</f>
        <v>387.534646654159</v>
      </c>
      <c r="R146" s="4" t="n">
        <f aca="false">IFERROR(I146/F146,0)</f>
        <v>0.143275512502816</v>
      </c>
      <c r="S146" s="4" t="n">
        <f aca="false">IFERROR(K146/J146,0)</f>
        <v>0.260467666868207</v>
      </c>
      <c r="T146" s="6" t="s">
        <v>23</v>
      </c>
    </row>
    <row r="147" customFormat="false" ht="15" hidden="false" customHeight="false" outlineLevel="0" collapsed="false">
      <c r="A147" s="3" t="s">
        <v>180</v>
      </c>
      <c r="B147" s="3" t="s">
        <v>29</v>
      </c>
      <c r="C147" s="3" t="n">
        <v>2848</v>
      </c>
      <c r="D147" s="3" t="n">
        <v>194</v>
      </c>
      <c r="E147" s="3" t="n">
        <v>730</v>
      </c>
      <c r="F147" s="3" t="n">
        <v>4931</v>
      </c>
      <c r="G147" s="3" t="n">
        <v>5</v>
      </c>
      <c r="H147" s="3" t="n">
        <v>1061965.7</v>
      </c>
      <c r="I147" s="3" t="n">
        <v>824</v>
      </c>
      <c r="J147" s="3" t="n">
        <v>224634</v>
      </c>
      <c r="K147" s="3" t="n">
        <v>34205</v>
      </c>
      <c r="L147" s="3" t="n">
        <v>0</v>
      </c>
      <c r="M147" s="4" t="n">
        <f aca="false">IFERROR(D147/C147,0)</f>
        <v>0.0681179775280899</v>
      </c>
      <c r="N147" s="4" t="n">
        <f aca="false">IFERROR(E147/C147,0)</f>
        <v>0.256320224719101</v>
      </c>
      <c r="O147" s="5" t="n">
        <f aca="false">IFERROR(F147/MAX(C147-D147,1),0)</f>
        <v>1.85795026375283</v>
      </c>
      <c r="P147" s="5" t="n">
        <f aca="false">IFERROR(F147/C147,0)</f>
        <v>1.7313904494382</v>
      </c>
      <c r="Q147" s="5" t="n">
        <f aca="false">IFERROR(H147/C147,0)</f>
        <v>372.88121488764</v>
      </c>
      <c r="R147" s="4" t="n">
        <f aca="false">IFERROR(I147/F147,0)</f>
        <v>0.167106063678767</v>
      </c>
      <c r="S147" s="4" t="n">
        <f aca="false">IFERROR(K147/J147,0)</f>
        <v>0.152269914616665</v>
      </c>
      <c r="T147" s="6" t="s">
        <v>23</v>
      </c>
    </row>
    <row r="148" customFormat="false" ht="15" hidden="false" customHeight="false" outlineLevel="0" collapsed="false">
      <c r="A148" s="3" t="s">
        <v>181</v>
      </c>
      <c r="B148" s="3" t="s">
        <v>22</v>
      </c>
      <c r="C148" s="3" t="n">
        <v>3993</v>
      </c>
      <c r="D148" s="3" t="n">
        <v>515</v>
      </c>
      <c r="E148" s="3" t="n">
        <v>1277</v>
      </c>
      <c r="F148" s="3" t="n">
        <v>14754</v>
      </c>
      <c r="G148" s="3" t="n">
        <v>17</v>
      </c>
      <c r="H148" s="3" t="n">
        <v>2272551.3</v>
      </c>
      <c r="I148" s="3" t="n">
        <v>3603</v>
      </c>
      <c r="J148" s="3" t="n">
        <v>371429</v>
      </c>
      <c r="K148" s="3" t="n">
        <v>72135</v>
      </c>
      <c r="L148" s="3" t="n">
        <v>2063</v>
      </c>
      <c r="M148" s="4" t="n">
        <f aca="false">IFERROR(D148/C148,0)</f>
        <v>0.128975707488104</v>
      </c>
      <c r="N148" s="4" t="n">
        <f aca="false">IFERROR(E148/C148,0)</f>
        <v>0.319809666917105</v>
      </c>
      <c r="O148" s="5" t="n">
        <f aca="false">IFERROR(F148/MAX(C148-D148,1),0)</f>
        <v>4.24209315698677</v>
      </c>
      <c r="P148" s="5" t="n">
        <f aca="false">IFERROR(F148/C148,0)</f>
        <v>3.69496619083396</v>
      </c>
      <c r="Q148" s="5" t="n">
        <f aca="false">IFERROR(H148/C148,0)</f>
        <v>569.133809166041</v>
      </c>
      <c r="R148" s="4" t="n">
        <f aca="false">IFERROR(I148/F148,0)</f>
        <v>0.244204961366409</v>
      </c>
      <c r="S148" s="4" t="n">
        <f aca="false">IFERROR(K148/J148,0)</f>
        <v>0.194209391296856</v>
      </c>
      <c r="T148" s="6" t="s">
        <v>23</v>
      </c>
    </row>
    <row r="149" customFormat="false" ht="15" hidden="false" customHeight="false" outlineLevel="0" collapsed="false">
      <c r="A149" s="9" t="s">
        <v>182</v>
      </c>
      <c r="B149" s="9" t="s">
        <v>29</v>
      </c>
      <c r="C149" s="9" t="n">
        <v>415</v>
      </c>
      <c r="D149" s="9" t="n">
        <v>21</v>
      </c>
      <c r="E149" s="9" t="n">
        <v>103</v>
      </c>
      <c r="F149" s="9" t="n">
        <v>2111</v>
      </c>
      <c r="G149" s="9" t="n">
        <v>15</v>
      </c>
      <c r="H149" s="9" t="n">
        <v>284663.9</v>
      </c>
      <c r="I149" s="9" t="n">
        <v>1335</v>
      </c>
      <c r="J149" s="9" t="n">
        <v>50871</v>
      </c>
      <c r="K149" s="9" t="n">
        <v>36687</v>
      </c>
      <c r="L149" s="9" t="n">
        <v>0</v>
      </c>
      <c r="M149" s="10" t="n">
        <f aca="false">IFERROR(D149/C149,0)</f>
        <v>0.0506024096385542</v>
      </c>
      <c r="N149" s="10" t="n">
        <f aca="false">IFERROR(E149/C149,0)</f>
        <v>0.248192771084337</v>
      </c>
      <c r="O149" s="11" t="n">
        <f aca="false">IFERROR(F149/MAX(C149-D149,1),0)</f>
        <v>5.35786802030457</v>
      </c>
      <c r="P149" s="11" t="n">
        <f aca="false">IFERROR(F149/C149,0)</f>
        <v>5.08674698795181</v>
      </c>
      <c r="Q149" s="11" t="n">
        <f aca="false">IFERROR(H149/C149,0)</f>
        <v>685.937108433735</v>
      </c>
      <c r="R149" s="10" t="n">
        <f aca="false">IFERROR(I149/F149,0)</f>
        <v>0.632401705352913</v>
      </c>
      <c r="S149" s="10" t="n">
        <f aca="false">IFERROR(K149/J149,0)</f>
        <v>0.721177095005013</v>
      </c>
      <c r="T149" s="12" t="s">
        <v>30</v>
      </c>
    </row>
    <row r="150" customFormat="false" ht="15" hidden="false" customHeight="false" outlineLevel="0" collapsed="false">
      <c r="A150" s="3" t="s">
        <v>183</v>
      </c>
      <c r="B150" s="3" t="s">
        <v>26</v>
      </c>
      <c r="C150" s="3" t="n">
        <v>2845</v>
      </c>
      <c r="D150" s="3" t="n">
        <v>236</v>
      </c>
      <c r="E150" s="3" t="n">
        <v>787</v>
      </c>
      <c r="F150" s="3" t="n">
        <v>8678</v>
      </c>
      <c r="G150" s="3" t="n">
        <v>13</v>
      </c>
      <c r="H150" s="3" t="n">
        <v>1340984.5</v>
      </c>
      <c r="I150" s="3" t="n">
        <v>1811</v>
      </c>
      <c r="J150" s="3" t="n">
        <v>296091</v>
      </c>
      <c r="K150" s="3" t="n">
        <v>69582</v>
      </c>
      <c r="L150" s="3" t="n">
        <v>572</v>
      </c>
      <c r="M150" s="4" t="n">
        <f aca="false">IFERROR(D150/C150,0)</f>
        <v>0.0829525483304042</v>
      </c>
      <c r="N150" s="4" t="n">
        <f aca="false">IFERROR(E150/C150,0)</f>
        <v>0.276625659050967</v>
      </c>
      <c r="O150" s="5" t="n">
        <f aca="false">IFERROR(F150/MAX(C150-D150,1),0)</f>
        <v>3.32617861249521</v>
      </c>
      <c r="P150" s="5" t="n">
        <f aca="false">IFERROR(F150/C150,0)</f>
        <v>3.05026362038664</v>
      </c>
      <c r="Q150" s="5" t="n">
        <f aca="false">IFERROR(H150/C150,0)</f>
        <v>471.347803163445</v>
      </c>
      <c r="R150" s="4" t="n">
        <f aca="false">IFERROR(I150/F150,0)</f>
        <v>0.208688637935008</v>
      </c>
      <c r="S150" s="4" t="n">
        <f aca="false">IFERROR(K150/J150,0)</f>
        <v>0.235002077064146</v>
      </c>
      <c r="T150" s="6" t="s">
        <v>23</v>
      </c>
    </row>
    <row r="151" customFormat="false" ht="15" hidden="false" customHeight="false" outlineLevel="0" collapsed="false">
      <c r="A151" s="3" t="s">
        <v>184</v>
      </c>
      <c r="B151" s="3" t="s">
        <v>22</v>
      </c>
      <c r="C151" s="3" t="n">
        <v>1193</v>
      </c>
      <c r="D151" s="3" t="n">
        <v>138</v>
      </c>
      <c r="E151" s="3" t="n">
        <v>353</v>
      </c>
      <c r="F151" s="3" t="n">
        <v>4383</v>
      </c>
      <c r="G151" s="3" t="n">
        <v>17</v>
      </c>
      <c r="H151" s="3" t="n">
        <v>559923.7</v>
      </c>
      <c r="I151" s="3" t="n">
        <v>624</v>
      </c>
      <c r="J151" s="3" t="n">
        <v>152152</v>
      </c>
      <c r="K151" s="3" t="n">
        <v>36997</v>
      </c>
      <c r="L151" s="3" t="n">
        <v>244</v>
      </c>
      <c r="M151" s="4" t="n">
        <f aca="false">IFERROR(D151/C151,0)</f>
        <v>0.115674769488684</v>
      </c>
      <c r="N151" s="4" t="n">
        <f aca="false">IFERROR(E151/C151,0)</f>
        <v>0.295892707460184</v>
      </c>
      <c r="O151" s="5" t="n">
        <f aca="false">IFERROR(F151/MAX(C151-D151,1),0)</f>
        <v>4.15450236966825</v>
      </c>
      <c r="P151" s="5" t="n">
        <f aca="false">IFERROR(F151/C151,0)</f>
        <v>3.67393126571668</v>
      </c>
      <c r="Q151" s="5" t="n">
        <f aca="false">IFERROR(H151/C151,0)</f>
        <v>469.340905280805</v>
      </c>
      <c r="R151" s="4" t="n">
        <f aca="false">IFERROR(I151/F151,0)</f>
        <v>0.142368240930869</v>
      </c>
      <c r="S151" s="4" t="n">
        <f aca="false">IFERROR(K151/J151,0)</f>
        <v>0.243158157631842</v>
      </c>
      <c r="T151" s="6" t="s">
        <v>23</v>
      </c>
    </row>
    <row r="152" customFormat="false" ht="15" hidden="false" customHeight="false" outlineLevel="0" collapsed="false">
      <c r="A152" s="3" t="s">
        <v>185</v>
      </c>
      <c r="B152" s="3" t="s">
        <v>29</v>
      </c>
      <c r="C152" s="3" t="n">
        <v>1238</v>
      </c>
      <c r="D152" s="3" t="n">
        <v>217</v>
      </c>
      <c r="E152" s="3" t="n">
        <v>570</v>
      </c>
      <c r="F152" s="3" t="n">
        <v>4725</v>
      </c>
      <c r="G152" s="3" t="n">
        <v>18</v>
      </c>
      <c r="H152" s="3" t="n">
        <v>744342.6</v>
      </c>
      <c r="I152" s="3" t="n">
        <v>929</v>
      </c>
      <c r="J152" s="3" t="n">
        <v>143480</v>
      </c>
      <c r="K152" s="3" t="n">
        <v>42483</v>
      </c>
      <c r="L152" s="3" t="n">
        <v>0</v>
      </c>
      <c r="M152" s="4" t="n">
        <f aca="false">IFERROR(D152/C152,0)</f>
        <v>0.175282714054927</v>
      </c>
      <c r="N152" s="4" t="n">
        <f aca="false">IFERROR(E152/C152,0)</f>
        <v>0.460420032310178</v>
      </c>
      <c r="O152" s="5" t="n">
        <f aca="false">IFERROR(F152/MAX(C152-D152,1),0)</f>
        <v>4.62781586679726</v>
      </c>
      <c r="P152" s="5" t="n">
        <f aca="false">IFERROR(F152/C152,0)</f>
        <v>3.81663974151858</v>
      </c>
      <c r="Q152" s="5" t="n">
        <f aca="false">IFERROR(H152/C152,0)</f>
        <v>601.246042003231</v>
      </c>
      <c r="R152" s="4" t="n">
        <f aca="false">IFERROR(I152/F152,0)</f>
        <v>0.196613756613757</v>
      </c>
      <c r="S152" s="4" t="n">
        <f aca="false">IFERROR(K152/J152,0)</f>
        <v>0.296090047393365</v>
      </c>
      <c r="T152" s="6" t="s">
        <v>23</v>
      </c>
    </row>
    <row r="153" customFormat="false" ht="15" hidden="false" customHeight="false" outlineLevel="0" collapsed="false">
      <c r="A153" s="9" t="s">
        <v>186</v>
      </c>
      <c r="B153" s="9" t="s">
        <v>22</v>
      </c>
      <c r="C153" s="9" t="n">
        <v>2631</v>
      </c>
      <c r="D153" s="9" t="n">
        <v>496</v>
      </c>
      <c r="E153" s="9" t="n">
        <v>908</v>
      </c>
      <c r="F153" s="9" t="n">
        <v>16679</v>
      </c>
      <c r="G153" s="9" t="n">
        <v>27</v>
      </c>
      <c r="H153" s="9" t="n">
        <v>1958854.9</v>
      </c>
      <c r="I153" s="9" t="n">
        <v>10675</v>
      </c>
      <c r="J153" s="9" t="n">
        <v>275588</v>
      </c>
      <c r="K153" s="9" t="n">
        <v>137197</v>
      </c>
      <c r="L153" s="9" t="n">
        <v>528</v>
      </c>
      <c r="M153" s="10" t="n">
        <f aca="false">IFERROR(D153/C153,0)</f>
        <v>0.188521474724439</v>
      </c>
      <c r="N153" s="10" t="n">
        <f aca="false">IFERROR(E153/C153,0)</f>
        <v>0.345115925503611</v>
      </c>
      <c r="O153" s="11" t="n">
        <f aca="false">IFERROR(F153/MAX(C153-D153,1),0)</f>
        <v>7.81217798594848</v>
      </c>
      <c r="P153" s="11" t="n">
        <f aca="false">IFERROR(F153/C153,0)</f>
        <v>6.33941467122767</v>
      </c>
      <c r="Q153" s="11" t="n">
        <f aca="false">IFERROR(H153/C153,0)</f>
        <v>744.528658304827</v>
      </c>
      <c r="R153" s="10" t="n">
        <f aca="false">IFERROR(I153/F153,0)</f>
        <v>0.640026380478446</v>
      </c>
      <c r="S153" s="10" t="n">
        <f aca="false">IFERROR(K153/J153,0)</f>
        <v>0.497833722803605</v>
      </c>
      <c r="T153" s="12" t="s">
        <v>30</v>
      </c>
    </row>
    <row r="154" customFormat="false" ht="15" hidden="false" customHeight="false" outlineLevel="0" collapsed="false">
      <c r="A154" s="9" t="s">
        <v>187</v>
      </c>
      <c r="B154" s="9" t="s">
        <v>26</v>
      </c>
      <c r="C154" s="9" t="n">
        <v>1255</v>
      </c>
      <c r="D154" s="9" t="n">
        <v>459</v>
      </c>
      <c r="E154" s="9" t="n">
        <v>865</v>
      </c>
      <c r="F154" s="9" t="n">
        <v>11822</v>
      </c>
      <c r="G154" s="9" t="n">
        <v>27</v>
      </c>
      <c r="H154" s="9" t="n">
        <v>1678242.4</v>
      </c>
      <c r="I154" s="9" t="n">
        <v>5598</v>
      </c>
      <c r="J154" s="9" t="n">
        <v>162905</v>
      </c>
      <c r="K154" s="9" t="n">
        <v>100623</v>
      </c>
      <c r="L154" s="9" t="n">
        <v>386</v>
      </c>
      <c r="M154" s="10" t="n">
        <f aca="false">IFERROR(D154/C154,0)</f>
        <v>0.365737051792829</v>
      </c>
      <c r="N154" s="10" t="n">
        <f aca="false">IFERROR(E154/C154,0)</f>
        <v>0.689243027888446</v>
      </c>
      <c r="O154" s="11" t="n">
        <f aca="false">IFERROR(F154/MAX(C154-D154,1),0)</f>
        <v>14.8517587939699</v>
      </c>
      <c r="P154" s="11" t="n">
        <f aca="false">IFERROR(F154/C154,0)</f>
        <v>9.4199203187251</v>
      </c>
      <c r="Q154" s="11" t="n">
        <f aca="false">IFERROR(H154/C154,0)</f>
        <v>1337.24494023904</v>
      </c>
      <c r="R154" s="10" t="n">
        <f aca="false">IFERROR(I154/F154,0)</f>
        <v>0.473523938419895</v>
      </c>
      <c r="S154" s="10" t="n">
        <f aca="false">IFERROR(K154/J154,0)</f>
        <v>0.61767901537706</v>
      </c>
      <c r="T154" s="12" t="s">
        <v>30</v>
      </c>
    </row>
    <row r="155" customFormat="false" ht="15" hidden="false" customHeight="false" outlineLevel="0" collapsed="false">
      <c r="A155" s="3" t="s">
        <v>188</v>
      </c>
      <c r="B155" s="3" t="s">
        <v>22</v>
      </c>
      <c r="C155" s="3" t="n">
        <v>535</v>
      </c>
      <c r="D155" s="3" t="n">
        <v>33</v>
      </c>
      <c r="E155" s="3" t="n">
        <v>120</v>
      </c>
      <c r="F155" s="3" t="n">
        <v>1108</v>
      </c>
      <c r="G155" s="3" t="n">
        <v>5</v>
      </c>
      <c r="H155" s="3" t="n">
        <v>162483.4</v>
      </c>
      <c r="I155" s="3" t="n">
        <v>158</v>
      </c>
      <c r="J155" s="3" t="n">
        <v>45455</v>
      </c>
      <c r="K155" s="3" t="n">
        <v>5984</v>
      </c>
      <c r="L155" s="3" t="n">
        <v>131</v>
      </c>
      <c r="M155" s="4" t="n">
        <f aca="false">IFERROR(D155/C155,0)</f>
        <v>0.0616822429906542</v>
      </c>
      <c r="N155" s="4" t="n">
        <f aca="false">IFERROR(E155/C155,0)</f>
        <v>0.224299065420561</v>
      </c>
      <c r="O155" s="5" t="n">
        <f aca="false">IFERROR(F155/MAX(C155-D155,1),0)</f>
        <v>2.20717131474104</v>
      </c>
      <c r="P155" s="5" t="n">
        <f aca="false">IFERROR(F155/C155,0)</f>
        <v>2.07102803738318</v>
      </c>
      <c r="Q155" s="5" t="n">
        <f aca="false">IFERROR(H155/C155,0)</f>
        <v>303.707289719626</v>
      </c>
      <c r="R155" s="4" t="n">
        <f aca="false">IFERROR(I155/F155,0)</f>
        <v>0.142599277978339</v>
      </c>
      <c r="S155" s="4" t="n">
        <f aca="false">IFERROR(K155/J155,0)</f>
        <v>0.131646683533165</v>
      </c>
      <c r="T155" s="6" t="s">
        <v>23</v>
      </c>
    </row>
    <row r="156" customFormat="false" ht="15" hidden="false" customHeight="false" outlineLevel="0" collapsed="false">
      <c r="A156" s="9" t="s">
        <v>189</v>
      </c>
      <c r="B156" s="9" t="s">
        <v>22</v>
      </c>
      <c r="C156" s="9" t="n">
        <v>1087</v>
      </c>
      <c r="D156" s="9" t="n">
        <v>373</v>
      </c>
      <c r="E156" s="9" t="n">
        <v>662</v>
      </c>
      <c r="F156" s="9" t="n">
        <v>7720</v>
      </c>
      <c r="G156" s="9" t="n">
        <v>22</v>
      </c>
      <c r="H156" s="9" t="n">
        <v>1214702.5</v>
      </c>
      <c r="I156" s="9" t="n">
        <v>4996</v>
      </c>
      <c r="J156" s="9" t="n">
        <v>158903</v>
      </c>
      <c r="K156" s="9" t="n">
        <v>91904</v>
      </c>
      <c r="L156" s="9" t="n">
        <v>256</v>
      </c>
      <c r="M156" s="10" t="n">
        <f aca="false">IFERROR(D156/C156,0)</f>
        <v>0.343146274149034</v>
      </c>
      <c r="N156" s="10" t="n">
        <f aca="false">IFERROR(E156/C156,0)</f>
        <v>0.609015639374425</v>
      </c>
      <c r="O156" s="11" t="n">
        <f aca="false">IFERROR(F156/MAX(C156-D156,1),0)</f>
        <v>10.812324929972</v>
      </c>
      <c r="P156" s="11" t="n">
        <f aca="false">IFERROR(F156/C156,0)</f>
        <v>7.10211591536339</v>
      </c>
      <c r="Q156" s="11" t="n">
        <f aca="false">IFERROR(H156/C156,0)</f>
        <v>1117.48160073597</v>
      </c>
      <c r="R156" s="10" t="n">
        <f aca="false">IFERROR(I156/F156,0)</f>
        <v>0.647150259067358</v>
      </c>
      <c r="S156" s="10" t="n">
        <f aca="false">IFERROR(K156/J156,0)</f>
        <v>0.578365417896453</v>
      </c>
      <c r="T156" s="12" t="s">
        <v>30</v>
      </c>
    </row>
    <row r="157" customFormat="false" ht="15" hidden="false" customHeight="false" outlineLevel="0" collapsed="false">
      <c r="A157" s="3" t="s">
        <v>190</v>
      </c>
      <c r="B157" s="3" t="s">
        <v>26</v>
      </c>
      <c r="C157" s="3" t="n">
        <v>798</v>
      </c>
      <c r="D157" s="3" t="n">
        <v>22</v>
      </c>
      <c r="E157" s="3" t="n">
        <v>178</v>
      </c>
      <c r="F157" s="3" t="n">
        <v>1538</v>
      </c>
      <c r="G157" s="3" t="n">
        <v>6</v>
      </c>
      <c r="H157" s="3" t="n">
        <v>430244.1</v>
      </c>
      <c r="I157" s="3" t="n">
        <v>238</v>
      </c>
      <c r="J157" s="3" t="n">
        <v>136036</v>
      </c>
      <c r="K157" s="3" t="n">
        <v>30899</v>
      </c>
      <c r="L157" s="3" t="n">
        <v>289</v>
      </c>
      <c r="M157" s="4" t="n">
        <f aca="false">IFERROR(D157/C157,0)</f>
        <v>0.0275689223057644</v>
      </c>
      <c r="N157" s="4" t="n">
        <f aca="false">IFERROR(E157/C157,0)</f>
        <v>0.223057644110276</v>
      </c>
      <c r="O157" s="5" t="n">
        <f aca="false">IFERROR(F157/MAX(C157-D157,1),0)</f>
        <v>1.9819587628866</v>
      </c>
      <c r="P157" s="5" t="n">
        <f aca="false">IFERROR(F157/C157,0)</f>
        <v>1.92731829573935</v>
      </c>
      <c r="Q157" s="5" t="n">
        <f aca="false">IFERROR(H157/C157,0)</f>
        <v>539.153007518797</v>
      </c>
      <c r="R157" s="4" t="n">
        <f aca="false">IFERROR(I157/F157,0)</f>
        <v>0.154746423927178</v>
      </c>
      <c r="S157" s="4" t="n">
        <f aca="false">IFERROR(K157/J157,0)</f>
        <v>0.227138404539975</v>
      </c>
      <c r="T157" s="6" t="s">
        <v>23</v>
      </c>
    </row>
    <row r="158" customFormat="false" ht="15" hidden="false" customHeight="false" outlineLevel="0" collapsed="false">
      <c r="A158" s="9" t="s">
        <v>191</v>
      </c>
      <c r="B158" s="9" t="s">
        <v>26</v>
      </c>
      <c r="C158" s="9" t="n">
        <v>422</v>
      </c>
      <c r="D158" s="9" t="n">
        <v>115</v>
      </c>
      <c r="E158" s="9" t="n">
        <v>199</v>
      </c>
      <c r="F158" s="9" t="n">
        <v>2901</v>
      </c>
      <c r="G158" s="9" t="n">
        <v>22</v>
      </c>
      <c r="H158" s="9" t="n">
        <v>439734.2</v>
      </c>
      <c r="I158" s="9" t="n">
        <v>1456</v>
      </c>
      <c r="J158" s="9" t="n">
        <v>52571</v>
      </c>
      <c r="K158" s="9" t="n">
        <v>44223</v>
      </c>
      <c r="L158" s="9" t="n">
        <v>195</v>
      </c>
      <c r="M158" s="10" t="n">
        <f aca="false">IFERROR(D158/C158,0)</f>
        <v>0.272511848341232</v>
      </c>
      <c r="N158" s="10" t="n">
        <f aca="false">IFERROR(E158/C158,0)</f>
        <v>0.471563981042654</v>
      </c>
      <c r="O158" s="11" t="n">
        <f aca="false">IFERROR(F158/MAX(C158-D158,1),0)</f>
        <v>9.44951140065147</v>
      </c>
      <c r="P158" s="11" t="n">
        <f aca="false">IFERROR(F158/C158,0)</f>
        <v>6.87440758293839</v>
      </c>
      <c r="Q158" s="11" t="n">
        <f aca="false">IFERROR(H158/C158,0)</f>
        <v>1042.02417061611</v>
      </c>
      <c r="R158" s="10" t="n">
        <f aca="false">IFERROR(I158/F158,0)</f>
        <v>0.501895897966219</v>
      </c>
      <c r="S158" s="10" t="n">
        <f aca="false">IFERROR(K158/J158,0)</f>
        <v>0.841205227216526</v>
      </c>
      <c r="T158" s="12" t="s">
        <v>30</v>
      </c>
    </row>
    <row r="159" customFormat="false" ht="15" hidden="false" customHeight="false" outlineLevel="0" collapsed="false">
      <c r="A159" s="3" t="s">
        <v>192</v>
      </c>
      <c r="B159" s="3" t="s">
        <v>29</v>
      </c>
      <c r="C159" s="3" t="n">
        <v>2364</v>
      </c>
      <c r="D159" s="3" t="n">
        <v>332</v>
      </c>
      <c r="E159" s="3" t="n">
        <v>1129</v>
      </c>
      <c r="F159" s="3" t="n">
        <v>4679</v>
      </c>
      <c r="G159" s="3" t="n">
        <v>8</v>
      </c>
      <c r="H159" s="3" t="n">
        <v>868411.8</v>
      </c>
      <c r="I159" s="3" t="n">
        <v>1074</v>
      </c>
      <c r="J159" s="3" t="n">
        <v>354840</v>
      </c>
      <c r="K159" s="3" t="n">
        <v>64907</v>
      </c>
      <c r="L159" s="3" t="n">
        <v>0</v>
      </c>
      <c r="M159" s="4" t="n">
        <f aca="false">IFERROR(D159/C159,0)</f>
        <v>0.140439932318105</v>
      </c>
      <c r="N159" s="4" t="n">
        <f aca="false">IFERROR(E159/C159,0)</f>
        <v>0.477580372250423</v>
      </c>
      <c r="O159" s="5" t="n">
        <f aca="false">IFERROR(F159/MAX(C159-D159,1),0)</f>
        <v>2.30265748031496</v>
      </c>
      <c r="P159" s="5" t="n">
        <f aca="false">IFERROR(F159/C159,0)</f>
        <v>1.97927241962775</v>
      </c>
      <c r="Q159" s="5" t="n">
        <f aca="false">IFERROR(H159/C159,0)</f>
        <v>367.34847715736</v>
      </c>
      <c r="R159" s="4" t="n">
        <f aca="false">IFERROR(I159/F159,0)</f>
        <v>0.22953622568925</v>
      </c>
      <c r="S159" s="4" t="n">
        <f aca="false">IFERROR(K159/J159,0)</f>
        <v>0.182919062112501</v>
      </c>
      <c r="T159" s="6" t="s">
        <v>23</v>
      </c>
    </row>
    <row r="160" customFormat="false" ht="15" hidden="false" customHeight="false" outlineLevel="0" collapsed="false">
      <c r="A160" s="9" t="s">
        <v>193</v>
      </c>
      <c r="B160" s="9" t="s">
        <v>26</v>
      </c>
      <c r="C160" s="9" t="n">
        <v>1482</v>
      </c>
      <c r="D160" s="9" t="n">
        <v>164</v>
      </c>
      <c r="E160" s="9" t="n">
        <v>576</v>
      </c>
      <c r="F160" s="9" t="n">
        <v>8095</v>
      </c>
      <c r="G160" s="9" t="n">
        <v>17</v>
      </c>
      <c r="H160" s="9" t="n">
        <v>1050841.8</v>
      </c>
      <c r="I160" s="9" t="n">
        <v>4906</v>
      </c>
      <c r="J160" s="9" t="n">
        <v>197590</v>
      </c>
      <c r="K160" s="9" t="n">
        <v>113573</v>
      </c>
      <c r="L160" s="9" t="n">
        <v>198</v>
      </c>
      <c r="M160" s="10" t="n">
        <f aca="false">IFERROR(D160/C160,0)</f>
        <v>0.110661268556005</v>
      </c>
      <c r="N160" s="10" t="n">
        <f aca="false">IFERROR(E160/C160,0)</f>
        <v>0.388663967611336</v>
      </c>
      <c r="O160" s="11" t="n">
        <f aca="false">IFERROR(F160/MAX(C160-D160,1),0)</f>
        <v>6.14188163884674</v>
      </c>
      <c r="P160" s="11" t="n">
        <f aca="false">IFERROR(F160/C160,0)</f>
        <v>5.46221322537112</v>
      </c>
      <c r="Q160" s="11" t="n">
        <f aca="false">IFERROR(H160/C160,0)</f>
        <v>709.07004048583</v>
      </c>
      <c r="R160" s="10" t="n">
        <f aca="false">IFERROR(I160/F160,0)</f>
        <v>0.606053119209389</v>
      </c>
      <c r="S160" s="10" t="n">
        <f aca="false">IFERROR(K160/J160,0)</f>
        <v>0.574791234374209</v>
      </c>
      <c r="T160" s="12" t="s">
        <v>30</v>
      </c>
    </row>
    <row r="161" customFormat="false" ht="15" hidden="false" customHeight="false" outlineLevel="0" collapsed="false">
      <c r="A161" s="3" t="s">
        <v>194</v>
      </c>
      <c r="B161" s="3" t="s">
        <v>26</v>
      </c>
      <c r="C161" s="3" t="n">
        <v>3388</v>
      </c>
      <c r="D161" s="3" t="n">
        <v>413</v>
      </c>
      <c r="E161" s="3" t="n">
        <v>1483</v>
      </c>
      <c r="F161" s="3" t="n">
        <v>13034</v>
      </c>
      <c r="G161" s="3" t="n">
        <v>15</v>
      </c>
      <c r="H161" s="3" t="n">
        <v>1575457.7</v>
      </c>
      <c r="I161" s="3" t="n">
        <v>2687</v>
      </c>
      <c r="J161" s="3" t="n">
        <v>588429</v>
      </c>
      <c r="K161" s="3" t="n">
        <v>112992</v>
      </c>
      <c r="L161" s="3" t="n">
        <v>974</v>
      </c>
      <c r="M161" s="4" t="n">
        <f aca="false">IFERROR(D161/C161,0)</f>
        <v>0.121900826446281</v>
      </c>
      <c r="N161" s="4" t="n">
        <f aca="false">IFERROR(E161/C161,0)</f>
        <v>0.437721369539551</v>
      </c>
      <c r="O161" s="5" t="n">
        <f aca="false">IFERROR(F161/MAX(C161-D161,1),0)</f>
        <v>4.38117647058824</v>
      </c>
      <c r="P161" s="5" t="n">
        <f aca="false">IFERROR(F161/C161,0)</f>
        <v>3.84710743801653</v>
      </c>
      <c r="Q161" s="5" t="n">
        <f aca="false">IFERROR(H161/C161,0)</f>
        <v>465.011127508855</v>
      </c>
      <c r="R161" s="4" t="n">
        <f aca="false">IFERROR(I161/F161,0)</f>
        <v>0.206153137946908</v>
      </c>
      <c r="S161" s="4" t="n">
        <f aca="false">IFERROR(K161/J161,0)</f>
        <v>0.192023166771182</v>
      </c>
      <c r="T161" s="6" t="s">
        <v>23</v>
      </c>
    </row>
    <row r="162" customFormat="false" ht="15" hidden="false" customHeight="false" outlineLevel="0" collapsed="false">
      <c r="A162" s="9" t="s">
        <v>195</v>
      </c>
      <c r="B162" s="9" t="s">
        <v>26</v>
      </c>
      <c r="C162" s="9" t="n">
        <v>3494</v>
      </c>
      <c r="D162" s="9" t="n">
        <v>1153</v>
      </c>
      <c r="E162" s="9" t="n">
        <v>2019</v>
      </c>
      <c r="F162" s="9" t="n">
        <v>25855</v>
      </c>
      <c r="G162" s="9" t="n">
        <v>22</v>
      </c>
      <c r="H162" s="9" t="n">
        <v>1759824</v>
      </c>
      <c r="I162" s="9" t="n">
        <v>14675</v>
      </c>
      <c r="J162" s="9" t="n">
        <v>292610</v>
      </c>
      <c r="K162" s="9" t="n">
        <v>191024</v>
      </c>
      <c r="L162" s="9" t="n">
        <v>838</v>
      </c>
      <c r="M162" s="10" t="n">
        <f aca="false">IFERROR(D162/C162,0)</f>
        <v>0.329994275901546</v>
      </c>
      <c r="N162" s="10" t="n">
        <f aca="false">IFERROR(E162/C162,0)</f>
        <v>0.577847738981111</v>
      </c>
      <c r="O162" s="11" t="n">
        <f aca="false">IFERROR(F162/MAX(C162-D162,1),0)</f>
        <v>11.0444254592055</v>
      </c>
      <c r="P162" s="11" t="n">
        <f aca="false">IFERROR(F162/C162,0)</f>
        <v>7.39982827704637</v>
      </c>
      <c r="Q162" s="11" t="n">
        <f aca="false">IFERROR(H162/C162,0)</f>
        <v>503.670291929021</v>
      </c>
      <c r="R162" s="10" t="n">
        <f aca="false">IFERROR(I162/F162,0)</f>
        <v>0.567588474182943</v>
      </c>
      <c r="S162" s="10" t="n">
        <f aca="false">IFERROR(K162/J162,0)</f>
        <v>0.65282799630908</v>
      </c>
      <c r="T162" s="12" t="s">
        <v>30</v>
      </c>
    </row>
    <row r="163" customFormat="false" ht="15" hidden="false" customHeight="false" outlineLevel="0" collapsed="false">
      <c r="A163" s="3" t="s">
        <v>196</v>
      </c>
      <c r="B163" s="3" t="s">
        <v>26</v>
      </c>
      <c r="C163" s="3" t="n">
        <v>1887</v>
      </c>
      <c r="D163" s="3" t="n">
        <v>253</v>
      </c>
      <c r="E163" s="3" t="n">
        <v>626</v>
      </c>
      <c r="F163" s="3" t="n">
        <v>4298</v>
      </c>
      <c r="G163" s="3" t="n">
        <v>12</v>
      </c>
      <c r="H163" s="3" t="n">
        <v>821322.6</v>
      </c>
      <c r="I163" s="3" t="n">
        <v>771</v>
      </c>
      <c r="J163" s="3" t="n">
        <v>330554</v>
      </c>
      <c r="K163" s="3" t="n">
        <v>53596</v>
      </c>
      <c r="L163" s="3" t="n">
        <v>770</v>
      </c>
      <c r="M163" s="4" t="n">
        <f aca="false">IFERROR(D163/C163,0)</f>
        <v>0.134075251722311</v>
      </c>
      <c r="N163" s="4" t="n">
        <f aca="false">IFERROR(E163/C163,0)</f>
        <v>0.331743508214096</v>
      </c>
      <c r="O163" s="5" t="n">
        <f aca="false">IFERROR(F163/MAX(C163-D163,1),0)</f>
        <v>2.63035495716034</v>
      </c>
      <c r="P163" s="5" t="n">
        <f aca="false">IFERROR(F163/C163,0)</f>
        <v>2.27768945416004</v>
      </c>
      <c r="Q163" s="5" t="n">
        <f aca="false">IFERROR(H163/C163,0)</f>
        <v>435.253100158983</v>
      </c>
      <c r="R163" s="4" t="n">
        <f aca="false">IFERROR(I163/F163,0)</f>
        <v>0.179385760818986</v>
      </c>
      <c r="S163" s="4" t="n">
        <f aca="false">IFERROR(K163/J163,0)</f>
        <v>0.162139922675266</v>
      </c>
      <c r="T163" s="6" t="s">
        <v>23</v>
      </c>
    </row>
    <row r="164" customFormat="false" ht="15" hidden="false" customHeight="false" outlineLevel="0" collapsed="false">
      <c r="A164" s="3" t="s">
        <v>197</v>
      </c>
      <c r="B164" s="3" t="s">
        <v>22</v>
      </c>
      <c r="C164" s="3" t="n">
        <v>314</v>
      </c>
      <c r="D164" s="3" t="n">
        <v>10</v>
      </c>
      <c r="E164" s="3" t="n">
        <v>58</v>
      </c>
      <c r="F164" s="3" t="n">
        <v>552</v>
      </c>
      <c r="G164" s="3" t="n">
        <v>5</v>
      </c>
      <c r="H164" s="3" t="n">
        <v>141156</v>
      </c>
      <c r="I164" s="3" t="n">
        <v>124</v>
      </c>
      <c r="J164" s="3" t="n">
        <v>44572</v>
      </c>
      <c r="K164" s="3" t="n">
        <v>6496</v>
      </c>
      <c r="L164" s="3" t="n">
        <v>47</v>
      </c>
      <c r="M164" s="4" t="n">
        <f aca="false">IFERROR(D164/C164,0)</f>
        <v>0.0318471337579618</v>
      </c>
      <c r="N164" s="4" t="n">
        <f aca="false">IFERROR(E164/C164,0)</f>
        <v>0.184713375796178</v>
      </c>
      <c r="O164" s="5" t="n">
        <f aca="false">IFERROR(F164/MAX(C164-D164,1),0)</f>
        <v>1.81578947368421</v>
      </c>
      <c r="P164" s="5" t="n">
        <f aca="false">IFERROR(F164/C164,0)</f>
        <v>1.75796178343949</v>
      </c>
      <c r="Q164" s="5" t="n">
        <f aca="false">IFERROR(H164/C164,0)</f>
        <v>449.541401273885</v>
      </c>
      <c r="R164" s="4" t="n">
        <f aca="false">IFERROR(I164/F164,0)</f>
        <v>0.22463768115942</v>
      </c>
      <c r="S164" s="4" t="n">
        <f aca="false">IFERROR(K164/J164,0)</f>
        <v>0.145741721259984</v>
      </c>
      <c r="T164" s="6" t="s">
        <v>23</v>
      </c>
    </row>
    <row r="165" customFormat="false" ht="15" hidden="false" customHeight="false" outlineLevel="0" collapsed="false">
      <c r="A165" s="9" t="s">
        <v>198</v>
      </c>
      <c r="B165" s="9" t="s">
        <v>29</v>
      </c>
      <c r="C165" s="9" t="n">
        <v>1758</v>
      </c>
      <c r="D165" s="9" t="n">
        <v>661</v>
      </c>
      <c r="E165" s="9" t="n">
        <v>1237</v>
      </c>
      <c r="F165" s="9" t="n">
        <v>14429</v>
      </c>
      <c r="G165" s="9" t="n">
        <v>21</v>
      </c>
      <c r="H165" s="9" t="n">
        <v>1349242</v>
      </c>
      <c r="I165" s="9" t="n">
        <v>7038</v>
      </c>
      <c r="J165" s="9" t="n">
        <v>254293</v>
      </c>
      <c r="K165" s="9" t="n">
        <v>171642</v>
      </c>
      <c r="L165" s="9" t="n">
        <v>0</v>
      </c>
      <c r="M165" s="10" t="n">
        <f aca="false">IFERROR(D165/C165,0)</f>
        <v>0.375995449374289</v>
      </c>
      <c r="N165" s="10" t="n">
        <f aca="false">IFERROR(E165/C165,0)</f>
        <v>0.703640500568828</v>
      </c>
      <c r="O165" s="11" t="n">
        <f aca="false">IFERROR(F165/MAX(C165-D165,1),0)</f>
        <v>13.1531449407475</v>
      </c>
      <c r="P165" s="11" t="n">
        <f aca="false">IFERROR(F165/C165,0)</f>
        <v>8.20762229806598</v>
      </c>
      <c r="Q165" s="11" t="n">
        <f aca="false">IFERROR(H165/C165,0)</f>
        <v>767.486916951081</v>
      </c>
      <c r="R165" s="10" t="n">
        <f aca="false">IFERROR(I165/F165,0)</f>
        <v>0.487767690068612</v>
      </c>
      <c r="S165" s="10" t="n">
        <f aca="false">IFERROR(K165/J165,0)</f>
        <v>0.674977289976523</v>
      </c>
      <c r="T165" s="12" t="s">
        <v>30</v>
      </c>
    </row>
    <row r="166" customFormat="false" ht="15" hidden="false" customHeight="false" outlineLevel="0" collapsed="false">
      <c r="A166" s="3" t="s">
        <v>199</v>
      </c>
      <c r="B166" s="3" t="s">
        <v>26</v>
      </c>
      <c r="C166" s="3" t="n">
        <v>1752</v>
      </c>
      <c r="D166" s="3" t="n">
        <v>92</v>
      </c>
      <c r="E166" s="3" t="n">
        <v>396</v>
      </c>
      <c r="F166" s="3" t="n">
        <v>1961</v>
      </c>
      <c r="G166" s="3" t="n">
        <v>3</v>
      </c>
      <c r="H166" s="3" t="n">
        <v>947385.4</v>
      </c>
      <c r="I166" s="3" t="n">
        <v>334</v>
      </c>
      <c r="J166" s="3" t="n">
        <v>186511</v>
      </c>
      <c r="K166" s="3" t="n">
        <v>44308</v>
      </c>
      <c r="L166" s="3" t="n">
        <v>220</v>
      </c>
      <c r="M166" s="4" t="n">
        <f aca="false">IFERROR(D166/C166,0)</f>
        <v>0.0525114155251142</v>
      </c>
      <c r="N166" s="4" t="n">
        <f aca="false">IFERROR(E166/C166,0)</f>
        <v>0.226027397260274</v>
      </c>
      <c r="O166" s="5" t="n">
        <f aca="false">IFERROR(F166/MAX(C166-D166,1),0)</f>
        <v>1.18132530120482</v>
      </c>
      <c r="P166" s="5" t="n">
        <f aca="false">IFERROR(F166/C166,0)</f>
        <v>1.11929223744292</v>
      </c>
      <c r="Q166" s="5" t="n">
        <f aca="false">IFERROR(H166/C166,0)</f>
        <v>540.745091324201</v>
      </c>
      <c r="R166" s="4" t="n">
        <f aca="false">IFERROR(I166/F166,0)</f>
        <v>0.170321264660887</v>
      </c>
      <c r="S166" s="4" t="n">
        <f aca="false">IFERROR(K166/J166,0)</f>
        <v>0.237562395783627</v>
      </c>
      <c r="T166" s="6" t="s">
        <v>23</v>
      </c>
    </row>
    <row r="167" customFormat="false" ht="15" hidden="false" customHeight="false" outlineLevel="0" collapsed="false">
      <c r="A167" s="9" t="s">
        <v>200</v>
      </c>
      <c r="B167" s="9" t="s">
        <v>26</v>
      </c>
      <c r="C167" s="9" t="n">
        <v>3484</v>
      </c>
      <c r="D167" s="9" t="n">
        <v>646</v>
      </c>
      <c r="E167" s="9" t="n">
        <v>1239</v>
      </c>
      <c r="F167" s="9" t="n">
        <v>19872</v>
      </c>
      <c r="G167" s="9" t="n">
        <v>12</v>
      </c>
      <c r="H167" s="9" t="n">
        <v>2251610.6</v>
      </c>
      <c r="I167" s="9" t="n">
        <v>14208</v>
      </c>
      <c r="J167" s="9" t="n">
        <v>311825</v>
      </c>
      <c r="K167" s="9" t="n">
        <v>264971</v>
      </c>
      <c r="L167" s="9" t="n">
        <v>784</v>
      </c>
      <c r="M167" s="10" t="n">
        <f aca="false">IFERROR(D167/C167,0)</f>
        <v>0.185419058553387</v>
      </c>
      <c r="N167" s="10" t="n">
        <f aca="false">IFERROR(E167/C167,0)</f>
        <v>0.355625717566016</v>
      </c>
      <c r="O167" s="11" t="n">
        <f aca="false">IFERROR(F167/MAX(C167-D167,1),0)</f>
        <v>7.00211416490486</v>
      </c>
      <c r="P167" s="11" t="n">
        <f aca="false">IFERROR(F167/C167,0)</f>
        <v>5.70378874856487</v>
      </c>
      <c r="Q167" s="11" t="n">
        <f aca="false">IFERROR(H167/C167,0)</f>
        <v>646.271699196326</v>
      </c>
      <c r="R167" s="10" t="n">
        <f aca="false">IFERROR(I167/F167,0)</f>
        <v>0.714975845410628</v>
      </c>
      <c r="S167" s="10" t="n">
        <f aca="false">IFERROR(K167/J167,0)</f>
        <v>0.84974264411128</v>
      </c>
      <c r="T167" s="12" t="s">
        <v>30</v>
      </c>
    </row>
    <row r="168" customFormat="false" ht="15" hidden="false" customHeight="false" outlineLevel="0" collapsed="false">
      <c r="A168" s="3" t="s">
        <v>201</v>
      </c>
      <c r="B168" s="3" t="s">
        <v>22</v>
      </c>
      <c r="C168" s="3" t="n">
        <v>1426</v>
      </c>
      <c r="D168" s="3" t="n">
        <v>118</v>
      </c>
      <c r="E168" s="3" t="n">
        <v>460</v>
      </c>
      <c r="F168" s="3" t="n">
        <v>3197</v>
      </c>
      <c r="G168" s="3" t="n">
        <v>11</v>
      </c>
      <c r="H168" s="3" t="n">
        <v>444434.1</v>
      </c>
      <c r="I168" s="3" t="n">
        <v>565</v>
      </c>
      <c r="J168" s="3" t="n">
        <v>142849</v>
      </c>
      <c r="K168" s="3" t="n">
        <v>20522</v>
      </c>
      <c r="L168" s="3" t="n">
        <v>528</v>
      </c>
      <c r="M168" s="4" t="n">
        <f aca="false">IFERROR(D168/C168,0)</f>
        <v>0.0827489481065919</v>
      </c>
      <c r="N168" s="4" t="n">
        <f aca="false">IFERROR(E168/C168,0)</f>
        <v>0.32258064516129</v>
      </c>
      <c r="O168" s="5" t="n">
        <f aca="false">IFERROR(F168/MAX(C168-D168,1),0)</f>
        <v>2.44418960244648</v>
      </c>
      <c r="P168" s="5" t="n">
        <f aca="false">IFERROR(F168/C168,0)</f>
        <v>2.24193548387097</v>
      </c>
      <c r="Q168" s="5" t="n">
        <f aca="false">IFERROR(H168/C168,0)</f>
        <v>311.664866760168</v>
      </c>
      <c r="R168" s="4" t="n">
        <f aca="false">IFERROR(I168/F168,0)</f>
        <v>0.176728182671254</v>
      </c>
      <c r="S168" s="4" t="n">
        <f aca="false">IFERROR(K168/J168,0)</f>
        <v>0.143662188744758</v>
      </c>
      <c r="T168" s="6" t="s">
        <v>23</v>
      </c>
    </row>
    <row r="169" customFormat="false" ht="15" hidden="false" customHeight="false" outlineLevel="0" collapsed="false">
      <c r="A169" s="3" t="s">
        <v>202</v>
      </c>
      <c r="B169" s="3" t="s">
        <v>26</v>
      </c>
      <c r="C169" s="3" t="n">
        <v>2299</v>
      </c>
      <c r="D169" s="3" t="n">
        <v>294</v>
      </c>
      <c r="E169" s="3" t="n">
        <v>1072</v>
      </c>
      <c r="F169" s="3" t="n">
        <v>6025</v>
      </c>
      <c r="G169" s="3" t="n">
        <v>10</v>
      </c>
      <c r="H169" s="3" t="n">
        <v>921248.9</v>
      </c>
      <c r="I169" s="3" t="n">
        <v>1401</v>
      </c>
      <c r="J169" s="3" t="n">
        <v>202923</v>
      </c>
      <c r="K169" s="3" t="n">
        <v>32633</v>
      </c>
      <c r="L169" s="3" t="n">
        <v>984</v>
      </c>
      <c r="M169" s="4" t="n">
        <f aca="false">IFERROR(D169/C169,0)</f>
        <v>0.1278816876903</v>
      </c>
      <c r="N169" s="4" t="n">
        <f aca="false">IFERROR(E169/C169,0)</f>
        <v>0.466289691170074</v>
      </c>
      <c r="O169" s="5" t="n">
        <f aca="false">IFERROR(F169/MAX(C169-D169,1),0)</f>
        <v>3.00498753117207</v>
      </c>
      <c r="P169" s="5" t="n">
        <f aca="false">IFERROR(F169/C169,0)</f>
        <v>2.62070465419748</v>
      </c>
      <c r="Q169" s="5" t="n">
        <f aca="false">IFERROR(H169/C169,0)</f>
        <v>400.717224880383</v>
      </c>
      <c r="R169" s="4" t="n">
        <f aca="false">IFERROR(I169/F169,0)</f>
        <v>0.23253112033195</v>
      </c>
      <c r="S169" s="4" t="n">
        <f aca="false">IFERROR(K169/J169,0)</f>
        <v>0.160814693258034</v>
      </c>
      <c r="T169" s="6" t="s">
        <v>23</v>
      </c>
    </row>
    <row r="170" customFormat="false" ht="15" hidden="false" customHeight="false" outlineLevel="0" collapsed="false">
      <c r="A170" s="3" t="s">
        <v>203</v>
      </c>
      <c r="B170" s="3" t="s">
        <v>22</v>
      </c>
      <c r="C170" s="3" t="n">
        <v>2033</v>
      </c>
      <c r="D170" s="3" t="n">
        <v>280</v>
      </c>
      <c r="E170" s="3" t="n">
        <v>797</v>
      </c>
      <c r="F170" s="3" t="n">
        <v>6149</v>
      </c>
      <c r="G170" s="3" t="n">
        <v>9</v>
      </c>
      <c r="H170" s="3" t="n">
        <v>914916.5</v>
      </c>
      <c r="I170" s="3" t="n">
        <v>1321</v>
      </c>
      <c r="J170" s="3" t="n">
        <v>162780</v>
      </c>
      <c r="K170" s="3" t="n">
        <v>37740</v>
      </c>
      <c r="L170" s="3" t="n">
        <v>863</v>
      </c>
      <c r="M170" s="4" t="n">
        <f aca="false">IFERROR(D170/C170,0)</f>
        <v>0.137727496310871</v>
      </c>
      <c r="N170" s="4" t="n">
        <f aca="false">IFERROR(E170/C170,0)</f>
        <v>0.392031480570585</v>
      </c>
      <c r="O170" s="5" t="n">
        <f aca="false">IFERROR(F170/MAX(C170-D170,1),0)</f>
        <v>3.50770108385625</v>
      </c>
      <c r="P170" s="5" t="n">
        <f aca="false">IFERROR(F170/C170,0)</f>
        <v>3.0245941957698</v>
      </c>
      <c r="Q170" s="5" t="n">
        <f aca="false">IFERROR(H170/C170,0)</f>
        <v>450.032710280374</v>
      </c>
      <c r="R170" s="4" t="n">
        <f aca="false">IFERROR(I170/F170,0)</f>
        <v>0.214831679947959</v>
      </c>
      <c r="S170" s="4" t="n">
        <f aca="false">IFERROR(K170/J170,0)</f>
        <v>0.231846664209362</v>
      </c>
      <c r="T170" s="6" t="s">
        <v>23</v>
      </c>
    </row>
    <row r="171" customFormat="false" ht="15" hidden="false" customHeight="false" outlineLevel="0" collapsed="false">
      <c r="A171" s="3" t="s">
        <v>204</v>
      </c>
      <c r="B171" s="3" t="s">
        <v>26</v>
      </c>
      <c r="C171" s="3" t="n">
        <v>1344</v>
      </c>
      <c r="D171" s="3" t="n">
        <v>77</v>
      </c>
      <c r="E171" s="3" t="n">
        <v>445</v>
      </c>
      <c r="F171" s="3" t="n">
        <v>3658</v>
      </c>
      <c r="G171" s="3" t="n">
        <v>14</v>
      </c>
      <c r="H171" s="3" t="n">
        <v>586764.7</v>
      </c>
      <c r="I171" s="3" t="n">
        <v>723</v>
      </c>
      <c r="J171" s="3" t="n">
        <v>174534</v>
      </c>
      <c r="K171" s="3" t="n">
        <v>41083</v>
      </c>
      <c r="L171" s="3" t="n">
        <v>203</v>
      </c>
      <c r="M171" s="4" t="n">
        <f aca="false">IFERROR(D171/C171,0)</f>
        <v>0.0572916666666667</v>
      </c>
      <c r="N171" s="4" t="n">
        <f aca="false">IFERROR(E171/C171,0)</f>
        <v>0.33110119047619</v>
      </c>
      <c r="O171" s="5" t="n">
        <f aca="false">IFERROR(F171/MAX(C171-D171,1),0)</f>
        <v>2.88713496448303</v>
      </c>
      <c r="P171" s="5" t="n">
        <f aca="false">IFERROR(F171/C171,0)</f>
        <v>2.72172619047619</v>
      </c>
      <c r="Q171" s="5" t="n">
        <f aca="false">IFERROR(H171/C171,0)</f>
        <v>436.58087797619</v>
      </c>
      <c r="R171" s="4" t="n">
        <f aca="false">IFERROR(I171/F171,0)</f>
        <v>0.197648988518316</v>
      </c>
      <c r="S171" s="4" t="n">
        <f aca="false">IFERROR(K171/J171,0)</f>
        <v>0.23538680142551</v>
      </c>
      <c r="T171" s="6" t="s">
        <v>23</v>
      </c>
    </row>
    <row r="172" customFormat="false" ht="15" hidden="false" customHeight="false" outlineLevel="0" collapsed="false">
      <c r="A172" s="3" t="s">
        <v>205</v>
      </c>
      <c r="B172" s="3" t="s">
        <v>29</v>
      </c>
      <c r="C172" s="3" t="n">
        <v>1381</v>
      </c>
      <c r="D172" s="3" t="n">
        <v>216</v>
      </c>
      <c r="E172" s="3" t="n">
        <v>642</v>
      </c>
      <c r="F172" s="3" t="n">
        <v>5250</v>
      </c>
      <c r="G172" s="3" t="n">
        <v>19</v>
      </c>
      <c r="H172" s="3" t="n">
        <v>918469.4</v>
      </c>
      <c r="I172" s="3" t="n">
        <v>1474</v>
      </c>
      <c r="J172" s="3" t="n">
        <v>126404</v>
      </c>
      <c r="K172" s="3" t="n">
        <v>34962</v>
      </c>
      <c r="L172" s="3" t="n">
        <v>0</v>
      </c>
      <c r="M172" s="4" t="n">
        <f aca="false">IFERROR(D172/C172,0)</f>
        <v>0.156408399710355</v>
      </c>
      <c r="N172" s="4" t="n">
        <f aca="false">IFERROR(E172/C172,0)</f>
        <v>0.464880521361332</v>
      </c>
      <c r="O172" s="5" t="n">
        <f aca="false">IFERROR(F172/MAX(C172-D172,1),0)</f>
        <v>4.50643776824034</v>
      </c>
      <c r="P172" s="5" t="n">
        <f aca="false">IFERROR(F172/C172,0)</f>
        <v>3.80159304851557</v>
      </c>
      <c r="Q172" s="5" t="n">
        <f aca="false">IFERROR(H172/C172,0)</f>
        <v>665.075597393193</v>
      </c>
      <c r="R172" s="4" t="n">
        <f aca="false">IFERROR(I172/F172,0)</f>
        <v>0.280761904761905</v>
      </c>
      <c r="S172" s="4" t="n">
        <f aca="false">IFERROR(K172/J172,0)</f>
        <v>0.276589348438341</v>
      </c>
      <c r="T172" s="6" t="s">
        <v>23</v>
      </c>
    </row>
    <row r="173" customFormat="false" ht="15" hidden="false" customHeight="false" outlineLevel="0" collapsed="false">
      <c r="A173" s="3" t="s">
        <v>206</v>
      </c>
      <c r="B173" s="3" t="s">
        <v>29</v>
      </c>
      <c r="C173" s="3" t="n">
        <v>3871</v>
      </c>
      <c r="D173" s="3" t="n">
        <v>355</v>
      </c>
      <c r="E173" s="3" t="n">
        <v>1382</v>
      </c>
      <c r="F173" s="3" t="n">
        <v>7739</v>
      </c>
      <c r="G173" s="3" t="n">
        <v>8</v>
      </c>
      <c r="H173" s="3" t="n">
        <v>2258163.8</v>
      </c>
      <c r="I173" s="3" t="n">
        <v>1597</v>
      </c>
      <c r="J173" s="3" t="n">
        <v>575871</v>
      </c>
      <c r="K173" s="3" t="n">
        <v>96200</v>
      </c>
      <c r="L173" s="3" t="n">
        <v>0</v>
      </c>
      <c r="M173" s="4" t="n">
        <f aca="false">IFERROR(D173/C173,0)</f>
        <v>0.0917075691035908</v>
      </c>
      <c r="N173" s="4" t="n">
        <f aca="false">IFERROR(E173/C173,0)</f>
        <v>0.35701369155257</v>
      </c>
      <c r="O173" s="5" t="n">
        <f aca="false">IFERROR(F173/MAX(C173-D173,1),0)</f>
        <v>2.20108077360637</v>
      </c>
      <c r="P173" s="5" t="n">
        <f aca="false">IFERROR(F173/C173,0)</f>
        <v>1.99922500645828</v>
      </c>
      <c r="Q173" s="5" t="n">
        <f aca="false">IFERROR(H173/C173,0)</f>
        <v>583.35412038233</v>
      </c>
      <c r="R173" s="4" t="n">
        <f aca="false">IFERROR(I173/F173,0)</f>
        <v>0.206357410518155</v>
      </c>
      <c r="S173" s="4" t="n">
        <f aca="false">IFERROR(K173/J173,0)</f>
        <v>0.167051301419936</v>
      </c>
      <c r="T173" s="6" t="s">
        <v>23</v>
      </c>
    </row>
    <row r="174" customFormat="false" ht="15" hidden="false" customHeight="false" outlineLevel="0" collapsed="false">
      <c r="A174" s="3" t="s">
        <v>207</v>
      </c>
      <c r="B174" s="3" t="s">
        <v>29</v>
      </c>
      <c r="C174" s="3" t="n">
        <v>2985</v>
      </c>
      <c r="D174" s="3" t="n">
        <v>106</v>
      </c>
      <c r="E174" s="3" t="n">
        <v>578</v>
      </c>
      <c r="F174" s="3" t="n">
        <v>5797</v>
      </c>
      <c r="G174" s="3" t="n">
        <v>8</v>
      </c>
      <c r="H174" s="3" t="n">
        <v>572311.1</v>
      </c>
      <c r="I174" s="3" t="n">
        <v>1185</v>
      </c>
      <c r="J174" s="3" t="n">
        <v>275393</v>
      </c>
      <c r="K174" s="3" t="n">
        <v>31229</v>
      </c>
      <c r="L174" s="3" t="n">
        <v>0</v>
      </c>
      <c r="M174" s="4" t="n">
        <f aca="false">IFERROR(D174/C174,0)</f>
        <v>0.0355108877721943</v>
      </c>
      <c r="N174" s="4" t="n">
        <f aca="false">IFERROR(E174/C174,0)</f>
        <v>0.193634840871022</v>
      </c>
      <c r="O174" s="5" t="n">
        <f aca="false">IFERROR(F174/MAX(C174-D174,1),0)</f>
        <v>2.01354637026745</v>
      </c>
      <c r="P174" s="5" t="n">
        <f aca="false">IFERROR(F174/C174,0)</f>
        <v>1.94204355108878</v>
      </c>
      <c r="Q174" s="5" t="n">
        <f aca="false">IFERROR(H174/C174,0)</f>
        <v>191.729011725293</v>
      </c>
      <c r="R174" s="4" t="n">
        <f aca="false">IFERROR(I174/F174,0)</f>
        <v>0.204416077281352</v>
      </c>
      <c r="S174" s="4" t="n">
        <f aca="false">IFERROR(K174/J174,0)</f>
        <v>0.113397944029078</v>
      </c>
      <c r="T174" s="6" t="s">
        <v>23</v>
      </c>
    </row>
    <row r="175" customFormat="false" ht="15" hidden="false" customHeight="false" outlineLevel="0" collapsed="false">
      <c r="A175" s="3" t="s">
        <v>208</v>
      </c>
      <c r="B175" s="3" t="s">
        <v>26</v>
      </c>
      <c r="C175" s="3" t="n">
        <v>1360</v>
      </c>
      <c r="D175" s="3" t="n">
        <v>134</v>
      </c>
      <c r="E175" s="3" t="n">
        <v>370</v>
      </c>
      <c r="F175" s="3" t="n">
        <v>2927</v>
      </c>
      <c r="G175" s="3" t="n">
        <v>8</v>
      </c>
      <c r="H175" s="3" t="n">
        <v>640056.4</v>
      </c>
      <c r="I175" s="3" t="n">
        <v>495</v>
      </c>
      <c r="J175" s="3" t="n">
        <v>234648</v>
      </c>
      <c r="K175" s="3" t="n">
        <v>37270</v>
      </c>
      <c r="L175" s="3" t="n">
        <v>402</v>
      </c>
      <c r="M175" s="4" t="n">
        <f aca="false">IFERROR(D175/C175,0)</f>
        <v>0.0985294117647059</v>
      </c>
      <c r="N175" s="4" t="n">
        <f aca="false">IFERROR(E175/C175,0)</f>
        <v>0.272058823529412</v>
      </c>
      <c r="O175" s="5" t="n">
        <f aca="false">IFERROR(F175/MAX(C175-D175,1),0)</f>
        <v>2.38743882544861</v>
      </c>
      <c r="P175" s="5" t="n">
        <f aca="false">IFERROR(F175/C175,0)</f>
        <v>2.15220588235294</v>
      </c>
      <c r="Q175" s="5" t="n">
        <f aca="false">IFERROR(H175/C175,0)</f>
        <v>470.629705882353</v>
      </c>
      <c r="R175" s="4" t="n">
        <f aca="false">IFERROR(I175/F175,0)</f>
        <v>0.169115134950461</v>
      </c>
      <c r="S175" s="4" t="n">
        <f aca="false">IFERROR(K175/J175,0)</f>
        <v>0.158833657222734</v>
      </c>
      <c r="T175" s="6" t="s">
        <v>23</v>
      </c>
    </row>
    <row r="176" customFormat="false" ht="15" hidden="false" customHeight="false" outlineLevel="0" collapsed="false">
      <c r="A176" s="9" t="s">
        <v>209</v>
      </c>
      <c r="B176" s="9" t="s">
        <v>29</v>
      </c>
      <c r="C176" s="9" t="n">
        <v>3130</v>
      </c>
      <c r="D176" s="9" t="n">
        <v>859</v>
      </c>
      <c r="E176" s="9" t="n">
        <v>1584</v>
      </c>
      <c r="F176" s="9" t="n">
        <v>15953</v>
      </c>
      <c r="G176" s="9" t="n">
        <v>16</v>
      </c>
      <c r="H176" s="9" t="n">
        <v>2687494.8</v>
      </c>
      <c r="I176" s="9" t="n">
        <v>7185</v>
      </c>
      <c r="J176" s="9" t="n">
        <v>523202</v>
      </c>
      <c r="K176" s="9" t="n">
        <v>330573</v>
      </c>
      <c r="L176" s="9" t="n">
        <v>0</v>
      </c>
      <c r="M176" s="10" t="n">
        <f aca="false">IFERROR(D176/C176,0)</f>
        <v>0.27444089456869</v>
      </c>
      <c r="N176" s="10" t="n">
        <f aca="false">IFERROR(E176/C176,0)</f>
        <v>0.506070287539936</v>
      </c>
      <c r="O176" s="11" t="n">
        <f aca="false">IFERROR(F176/MAX(C176-D176,1),0)</f>
        <v>7.02465874064289</v>
      </c>
      <c r="P176" s="11" t="n">
        <f aca="false">IFERROR(F176/C176,0)</f>
        <v>5.09680511182109</v>
      </c>
      <c r="Q176" s="11" t="n">
        <f aca="false">IFERROR(H176/C176,0)</f>
        <v>858.624536741214</v>
      </c>
      <c r="R176" s="10" t="n">
        <f aca="false">IFERROR(I176/F176,0)</f>
        <v>0.45038550742807</v>
      </c>
      <c r="S176" s="10" t="n">
        <f aca="false">IFERROR(K176/J176,0)</f>
        <v>0.631826713200638</v>
      </c>
      <c r="T176" s="12" t="s">
        <v>30</v>
      </c>
    </row>
    <row r="177" customFormat="false" ht="15" hidden="false" customHeight="false" outlineLevel="0" collapsed="false">
      <c r="A177" s="3" t="s">
        <v>210</v>
      </c>
      <c r="B177" s="3" t="s">
        <v>26</v>
      </c>
      <c r="C177" s="3" t="n">
        <v>3251</v>
      </c>
      <c r="D177" s="3" t="n">
        <v>123</v>
      </c>
      <c r="E177" s="3" t="n">
        <v>1253</v>
      </c>
      <c r="F177" s="3" t="n">
        <v>5657</v>
      </c>
      <c r="G177" s="3" t="n">
        <v>4</v>
      </c>
      <c r="H177" s="3" t="n">
        <v>596147.4</v>
      </c>
      <c r="I177" s="3" t="n">
        <v>1095</v>
      </c>
      <c r="J177" s="3" t="n">
        <v>609108</v>
      </c>
      <c r="K177" s="3" t="n">
        <v>92254</v>
      </c>
      <c r="L177" s="3" t="n">
        <v>517</v>
      </c>
      <c r="M177" s="4" t="n">
        <f aca="false">IFERROR(D177/C177,0)</f>
        <v>0.0378345124577053</v>
      </c>
      <c r="N177" s="4" t="n">
        <f aca="false">IFERROR(E177/C177,0)</f>
        <v>0.385419870808982</v>
      </c>
      <c r="O177" s="5" t="n">
        <f aca="false">IFERROR(F177/MAX(C177-D177,1),0)</f>
        <v>1.80850383631714</v>
      </c>
      <c r="P177" s="5" t="n">
        <f aca="false">IFERROR(F177/C177,0)</f>
        <v>1.74007997539219</v>
      </c>
      <c r="Q177" s="5" t="n">
        <f aca="false">IFERROR(H177/C177,0)</f>
        <v>183.373546601046</v>
      </c>
      <c r="R177" s="4" t="n">
        <f aca="false">IFERROR(I177/F177,0)</f>
        <v>0.193565494078133</v>
      </c>
      <c r="S177" s="4" t="n">
        <f aca="false">IFERROR(K177/J177,0)</f>
        <v>0.151457541191382</v>
      </c>
      <c r="T177" s="6" t="s">
        <v>23</v>
      </c>
    </row>
    <row r="178" customFormat="false" ht="15" hidden="false" customHeight="false" outlineLevel="0" collapsed="false">
      <c r="A178" s="3" t="s">
        <v>211</v>
      </c>
      <c r="B178" s="3" t="s">
        <v>29</v>
      </c>
      <c r="C178" s="3" t="n">
        <v>3472</v>
      </c>
      <c r="D178" s="3" t="n">
        <v>346</v>
      </c>
      <c r="E178" s="3" t="n">
        <v>1074</v>
      </c>
      <c r="F178" s="3" t="n">
        <v>9436</v>
      </c>
      <c r="G178" s="3" t="n">
        <v>9</v>
      </c>
      <c r="H178" s="3" t="n">
        <v>869449.7</v>
      </c>
      <c r="I178" s="3" t="n">
        <v>1862</v>
      </c>
      <c r="J178" s="3" t="n">
        <v>446708</v>
      </c>
      <c r="K178" s="3" t="n">
        <v>94886</v>
      </c>
      <c r="L178" s="3" t="n">
        <v>0</v>
      </c>
      <c r="M178" s="4" t="n">
        <f aca="false">IFERROR(D178/C178,0)</f>
        <v>0.0996543778801843</v>
      </c>
      <c r="N178" s="4" t="n">
        <f aca="false">IFERROR(E178/C178,0)</f>
        <v>0.309331797235023</v>
      </c>
      <c r="O178" s="5" t="n">
        <f aca="false">IFERROR(F178/MAX(C178-D178,1),0)</f>
        <v>3.01855406269994</v>
      </c>
      <c r="P178" s="5" t="n">
        <f aca="false">IFERROR(F178/C178,0)</f>
        <v>2.71774193548387</v>
      </c>
      <c r="Q178" s="5" t="n">
        <f aca="false">IFERROR(H178/C178,0)</f>
        <v>250.417540322581</v>
      </c>
      <c r="R178" s="4" t="n">
        <f aca="false">IFERROR(I178/F178,0)</f>
        <v>0.197329376854599</v>
      </c>
      <c r="S178" s="4" t="n">
        <f aca="false">IFERROR(K178/J178,0)</f>
        <v>0.2124116872767</v>
      </c>
      <c r="T178" s="6" t="s">
        <v>23</v>
      </c>
    </row>
    <row r="179" customFormat="false" ht="15" hidden="false" customHeight="false" outlineLevel="0" collapsed="false">
      <c r="A179" s="3" t="s">
        <v>212</v>
      </c>
      <c r="B179" s="3" t="s">
        <v>29</v>
      </c>
      <c r="C179" s="3" t="n">
        <v>3049</v>
      </c>
      <c r="D179" s="3" t="n">
        <v>241</v>
      </c>
      <c r="E179" s="3" t="n">
        <v>1230</v>
      </c>
      <c r="F179" s="3" t="n">
        <v>5222</v>
      </c>
      <c r="G179" s="3" t="n">
        <v>9</v>
      </c>
      <c r="H179" s="3" t="n">
        <v>1219889.3</v>
      </c>
      <c r="I179" s="3" t="n">
        <v>635</v>
      </c>
      <c r="J179" s="3" t="n">
        <v>308689</v>
      </c>
      <c r="K179" s="3" t="n">
        <v>71158</v>
      </c>
      <c r="L179" s="3" t="n">
        <v>0</v>
      </c>
      <c r="M179" s="4" t="n">
        <f aca="false">IFERROR(D179/C179,0)</f>
        <v>0.0790423089537553</v>
      </c>
      <c r="N179" s="4" t="n">
        <f aca="false">IFERROR(E179/C179,0)</f>
        <v>0.403410954411282</v>
      </c>
      <c r="O179" s="5" t="n">
        <f aca="false">IFERROR(F179/MAX(C179-D179,1),0)</f>
        <v>1.85968660968661</v>
      </c>
      <c r="P179" s="5" t="n">
        <f aca="false">IFERROR(F179/C179,0)</f>
        <v>1.7126926861266</v>
      </c>
      <c r="Q179" s="5" t="n">
        <f aca="false">IFERROR(H179/C179,0)</f>
        <v>400.094883568383</v>
      </c>
      <c r="R179" s="4" t="n">
        <f aca="false">IFERROR(I179/F179,0)</f>
        <v>0.121600919188051</v>
      </c>
      <c r="S179" s="4" t="n">
        <f aca="false">IFERROR(K179/J179,0)</f>
        <v>0.230516798460587</v>
      </c>
      <c r="T179" s="6" t="s">
        <v>23</v>
      </c>
    </row>
    <row r="180" customFormat="false" ht="15" hidden="false" customHeight="false" outlineLevel="0" collapsed="false">
      <c r="A180" s="3" t="s">
        <v>213</v>
      </c>
      <c r="B180" s="3" t="s">
        <v>22</v>
      </c>
      <c r="C180" s="3" t="n">
        <v>3528</v>
      </c>
      <c r="D180" s="3" t="n">
        <v>352</v>
      </c>
      <c r="E180" s="3" t="n">
        <v>944</v>
      </c>
      <c r="F180" s="3" t="n">
        <v>10049</v>
      </c>
      <c r="G180" s="3" t="n">
        <v>16</v>
      </c>
      <c r="H180" s="3" t="n">
        <v>1574195.4</v>
      </c>
      <c r="I180" s="3" t="n">
        <v>1765</v>
      </c>
      <c r="J180" s="3" t="n">
        <v>447573</v>
      </c>
      <c r="K180" s="3" t="n">
        <v>80158</v>
      </c>
      <c r="L180" s="3" t="n">
        <v>1228</v>
      </c>
      <c r="M180" s="4" t="n">
        <f aca="false">IFERROR(D180/C180,0)</f>
        <v>0.0997732426303855</v>
      </c>
      <c r="N180" s="4" t="n">
        <f aca="false">IFERROR(E180/C180,0)</f>
        <v>0.267573696145125</v>
      </c>
      <c r="O180" s="5" t="n">
        <f aca="false">IFERROR(F180/MAX(C180-D180,1),0)</f>
        <v>3.16404282115869</v>
      </c>
      <c r="P180" s="5" t="n">
        <f aca="false">IFERROR(F180/C180,0)</f>
        <v>2.84835600907029</v>
      </c>
      <c r="Q180" s="5" t="n">
        <f aca="false">IFERROR(H180/C180,0)</f>
        <v>446.200510204082</v>
      </c>
      <c r="R180" s="4" t="n">
        <f aca="false">IFERROR(I180/F180,0)</f>
        <v>0.175639367101204</v>
      </c>
      <c r="S180" s="4" t="n">
        <f aca="false">IFERROR(K180/J180,0)</f>
        <v>0.179094806880665</v>
      </c>
      <c r="T180" s="6" t="s">
        <v>23</v>
      </c>
    </row>
    <row r="181" customFormat="false" ht="15" hidden="false" customHeight="false" outlineLevel="0" collapsed="false">
      <c r="A181" s="3" t="s">
        <v>214</v>
      </c>
      <c r="B181" s="3" t="s">
        <v>22</v>
      </c>
      <c r="C181" s="3" t="n">
        <v>393</v>
      </c>
      <c r="D181" s="3" t="n">
        <v>34</v>
      </c>
      <c r="E181" s="3" t="n">
        <v>102</v>
      </c>
      <c r="F181" s="3" t="n">
        <v>578</v>
      </c>
      <c r="G181" s="3" t="n">
        <v>5</v>
      </c>
      <c r="H181" s="3" t="n">
        <v>169116.8</v>
      </c>
      <c r="I181" s="3" t="n">
        <v>117</v>
      </c>
      <c r="J181" s="3" t="n">
        <v>65485</v>
      </c>
      <c r="K181" s="3" t="n">
        <v>7948</v>
      </c>
      <c r="L181" s="3" t="n">
        <v>97</v>
      </c>
      <c r="M181" s="4" t="n">
        <f aca="false">IFERROR(D181/C181,0)</f>
        <v>0.0865139949109415</v>
      </c>
      <c r="N181" s="4" t="n">
        <f aca="false">IFERROR(E181/C181,0)</f>
        <v>0.259541984732824</v>
      </c>
      <c r="O181" s="5" t="n">
        <f aca="false">IFERROR(F181/MAX(C181-D181,1),0)</f>
        <v>1.6100278551532</v>
      </c>
      <c r="P181" s="5" t="n">
        <f aca="false">IFERROR(F181/C181,0)</f>
        <v>1.47073791348601</v>
      </c>
      <c r="Q181" s="5" t="n">
        <f aca="false">IFERROR(H181/C181,0)</f>
        <v>430.322646310433</v>
      </c>
      <c r="R181" s="4" t="n">
        <f aca="false">IFERROR(I181/F181,0)</f>
        <v>0.20242214532872</v>
      </c>
      <c r="S181" s="4" t="n">
        <f aca="false">IFERROR(K181/J181,0)</f>
        <v>0.121371306406047</v>
      </c>
      <c r="T181" s="6" t="s">
        <v>23</v>
      </c>
    </row>
    <row r="182" customFormat="false" ht="15" hidden="false" customHeight="false" outlineLevel="0" collapsed="false">
      <c r="A182" s="3" t="s">
        <v>215</v>
      </c>
      <c r="B182" s="3" t="s">
        <v>22</v>
      </c>
      <c r="C182" s="3" t="n">
        <v>3938</v>
      </c>
      <c r="D182" s="3" t="n">
        <v>691</v>
      </c>
      <c r="E182" s="3" t="n">
        <v>1997</v>
      </c>
      <c r="F182" s="3" t="n">
        <v>13314</v>
      </c>
      <c r="G182" s="3" t="n">
        <v>11</v>
      </c>
      <c r="H182" s="3" t="n">
        <v>2742853.5</v>
      </c>
      <c r="I182" s="3" t="n">
        <v>3119</v>
      </c>
      <c r="J182" s="3" t="n">
        <v>711700</v>
      </c>
      <c r="K182" s="3" t="n">
        <v>147004</v>
      </c>
      <c r="L182" s="3" t="n">
        <v>1443</v>
      </c>
      <c r="M182" s="4" t="n">
        <f aca="false">IFERROR(D182/C182,0)</f>
        <v>0.175469781615033</v>
      </c>
      <c r="N182" s="4" t="n">
        <f aca="false">IFERROR(E182/C182,0)</f>
        <v>0.507110208227527</v>
      </c>
      <c r="O182" s="5" t="n">
        <f aca="false">IFERROR(F182/MAX(C182-D182,1),0)</f>
        <v>4.10040036957191</v>
      </c>
      <c r="P182" s="5" t="n">
        <f aca="false">IFERROR(F182/C182,0)</f>
        <v>3.38090401218893</v>
      </c>
      <c r="Q182" s="5" t="n">
        <f aca="false">IFERROR(H182/C182,0)</f>
        <v>696.509268664297</v>
      </c>
      <c r="R182" s="4" t="n">
        <f aca="false">IFERROR(I182/F182,0)</f>
        <v>0.234264683791498</v>
      </c>
      <c r="S182" s="4" t="n">
        <f aca="false">IFERROR(K182/J182,0)</f>
        <v>0.206553323029366</v>
      </c>
      <c r="T182" s="6" t="s">
        <v>23</v>
      </c>
    </row>
    <row r="183" customFormat="false" ht="15" hidden="false" customHeight="false" outlineLevel="0" collapsed="false">
      <c r="A183" s="9" t="s">
        <v>216</v>
      </c>
      <c r="B183" s="9" t="s">
        <v>22</v>
      </c>
      <c r="C183" s="9" t="n">
        <v>3618</v>
      </c>
      <c r="D183" s="9" t="n">
        <v>1038</v>
      </c>
      <c r="E183" s="9" t="n">
        <v>2014</v>
      </c>
      <c r="F183" s="9" t="n">
        <v>29645</v>
      </c>
      <c r="G183" s="9" t="n">
        <v>22</v>
      </c>
      <c r="H183" s="9" t="n">
        <v>3459366.4</v>
      </c>
      <c r="I183" s="9" t="n">
        <v>19719</v>
      </c>
      <c r="J183" s="9" t="n">
        <v>638126</v>
      </c>
      <c r="K183" s="9" t="n">
        <v>223344</v>
      </c>
      <c r="L183" s="9" t="n">
        <v>451</v>
      </c>
      <c r="M183" s="10" t="n">
        <f aca="false">IFERROR(D183/C183,0)</f>
        <v>0.286898839137645</v>
      </c>
      <c r="N183" s="10" t="n">
        <f aca="false">IFERROR(E183/C183,0)</f>
        <v>0.556661138750691</v>
      </c>
      <c r="O183" s="11" t="n">
        <f aca="false">IFERROR(F183/MAX(C183-D183,1),0)</f>
        <v>11.4903100775194</v>
      </c>
      <c r="P183" s="11" t="n">
        <f aca="false">IFERROR(F183/C183,0)</f>
        <v>8.19375345494749</v>
      </c>
      <c r="Q183" s="11" t="n">
        <f aca="false">IFERROR(H183/C183,0)</f>
        <v>956.154339414041</v>
      </c>
      <c r="R183" s="10" t="n">
        <f aca="false">IFERROR(I183/F183,0)</f>
        <v>0.66517119244392</v>
      </c>
      <c r="S183" s="10" t="n">
        <f aca="false">IFERROR(K183/J183,0)</f>
        <v>0.349999843291137</v>
      </c>
      <c r="T183" s="12" t="s">
        <v>30</v>
      </c>
    </row>
    <row r="184" customFormat="false" ht="15" hidden="false" customHeight="false" outlineLevel="0" collapsed="false">
      <c r="A184" s="3" t="s">
        <v>217</v>
      </c>
      <c r="B184" s="3" t="s">
        <v>26</v>
      </c>
      <c r="C184" s="3" t="n">
        <v>1272</v>
      </c>
      <c r="D184" s="3" t="n">
        <v>84</v>
      </c>
      <c r="E184" s="3" t="n">
        <v>287</v>
      </c>
      <c r="F184" s="3" t="n">
        <v>2827</v>
      </c>
      <c r="G184" s="3" t="n">
        <v>10</v>
      </c>
      <c r="H184" s="3" t="n">
        <v>487669.9</v>
      </c>
      <c r="I184" s="3" t="n">
        <v>497</v>
      </c>
      <c r="J184" s="3" t="n">
        <v>194317</v>
      </c>
      <c r="K184" s="3" t="n">
        <v>26893</v>
      </c>
      <c r="L184" s="3" t="n">
        <v>381</v>
      </c>
      <c r="M184" s="4" t="n">
        <f aca="false">IFERROR(D184/C184,0)</f>
        <v>0.0660377358490566</v>
      </c>
      <c r="N184" s="4" t="n">
        <f aca="false">IFERROR(E184/C184,0)</f>
        <v>0.22562893081761</v>
      </c>
      <c r="O184" s="5" t="n">
        <f aca="false">IFERROR(F184/MAX(C184-D184,1),0)</f>
        <v>2.37962962962963</v>
      </c>
      <c r="P184" s="5" t="n">
        <f aca="false">IFERROR(F184/C184,0)</f>
        <v>2.22248427672956</v>
      </c>
      <c r="Q184" s="5" t="n">
        <f aca="false">IFERROR(H184/C184,0)</f>
        <v>383.388286163522</v>
      </c>
      <c r="R184" s="4" t="n">
        <f aca="false">IFERROR(I184/F184,0)</f>
        <v>0.175804740007075</v>
      </c>
      <c r="S184" s="4" t="n">
        <f aca="false">IFERROR(K184/J184,0)</f>
        <v>0.138397566862395</v>
      </c>
      <c r="T184" s="6" t="s">
        <v>23</v>
      </c>
    </row>
    <row r="185" customFormat="false" ht="15" hidden="false" customHeight="false" outlineLevel="0" collapsed="false">
      <c r="A185" s="3" t="s">
        <v>218</v>
      </c>
      <c r="B185" s="3" t="s">
        <v>26</v>
      </c>
      <c r="C185" s="3" t="n">
        <v>3251</v>
      </c>
      <c r="D185" s="3" t="n">
        <v>284</v>
      </c>
      <c r="E185" s="3" t="n">
        <v>1196</v>
      </c>
      <c r="F185" s="3" t="n">
        <v>7158</v>
      </c>
      <c r="G185" s="3" t="n">
        <v>10</v>
      </c>
      <c r="H185" s="3" t="n">
        <v>1255623.8</v>
      </c>
      <c r="I185" s="3" t="n">
        <v>1490</v>
      </c>
      <c r="J185" s="3" t="n">
        <v>536120</v>
      </c>
      <c r="K185" s="3" t="n">
        <v>89009</v>
      </c>
      <c r="L185" s="3" t="n">
        <v>971</v>
      </c>
      <c r="M185" s="4" t="n">
        <f aca="false">IFERROR(D185/C185,0)</f>
        <v>0.0873577360812058</v>
      </c>
      <c r="N185" s="4" t="n">
        <f aca="false">IFERROR(E185/C185,0)</f>
        <v>0.367886804060289</v>
      </c>
      <c r="O185" s="5" t="n">
        <f aca="false">IFERROR(F185/MAX(C185-D185,1),0)</f>
        <v>2.41253791708797</v>
      </c>
      <c r="P185" s="5" t="n">
        <f aca="false">IFERROR(F185/C185,0)</f>
        <v>2.2017840664411</v>
      </c>
      <c r="Q185" s="5" t="n">
        <f aca="false">IFERROR(H185/C185,0)</f>
        <v>386.226945555214</v>
      </c>
      <c r="R185" s="4" t="n">
        <f aca="false">IFERROR(I185/F185,0)</f>
        <v>0.208158703548477</v>
      </c>
      <c r="S185" s="4" t="n">
        <f aca="false">IFERROR(K185/J185,0)</f>
        <v>0.166024397522943</v>
      </c>
      <c r="T185" s="6" t="s">
        <v>23</v>
      </c>
    </row>
    <row r="186" customFormat="false" ht="15" hidden="false" customHeight="false" outlineLevel="0" collapsed="false">
      <c r="A186" s="9" t="s">
        <v>219</v>
      </c>
      <c r="B186" s="9" t="s">
        <v>26</v>
      </c>
      <c r="C186" s="9" t="n">
        <v>3373</v>
      </c>
      <c r="D186" s="9" t="n">
        <v>905</v>
      </c>
      <c r="E186" s="9" t="n">
        <v>2019</v>
      </c>
      <c r="F186" s="9" t="n">
        <v>23229</v>
      </c>
      <c r="G186" s="9" t="n">
        <v>26</v>
      </c>
      <c r="H186" s="9" t="n">
        <v>3425421.3</v>
      </c>
      <c r="I186" s="9" t="n">
        <v>10865</v>
      </c>
      <c r="J186" s="9" t="n">
        <v>555334</v>
      </c>
      <c r="K186" s="9" t="n">
        <v>326960</v>
      </c>
      <c r="L186" s="9" t="n">
        <v>1175</v>
      </c>
      <c r="M186" s="10" t="n">
        <f aca="false">IFERROR(D186/C186,0)</f>
        <v>0.2683071449748</v>
      </c>
      <c r="N186" s="10" t="n">
        <f aca="false">IFERROR(E186/C186,0)</f>
        <v>0.598576934479692</v>
      </c>
      <c r="O186" s="11" t="n">
        <f aca="false">IFERROR(F186/MAX(C186-D186,1),0)</f>
        <v>9.41207455429498</v>
      </c>
      <c r="P186" s="11" t="n">
        <f aca="false">IFERROR(F186/C186,0)</f>
        <v>6.88674770234213</v>
      </c>
      <c r="Q186" s="11" t="n">
        <f aca="false">IFERROR(H186/C186,0)</f>
        <v>1015.54144678328</v>
      </c>
      <c r="R186" s="10" t="n">
        <f aca="false">IFERROR(I186/F186,0)</f>
        <v>0.467734297645185</v>
      </c>
      <c r="S186" s="10" t="n">
        <f aca="false">IFERROR(K186/J186,0)</f>
        <v>0.588762798604083</v>
      </c>
      <c r="T186" s="12" t="s">
        <v>30</v>
      </c>
    </row>
    <row r="187" customFormat="false" ht="15" hidden="false" customHeight="false" outlineLevel="0" collapsed="false">
      <c r="A187" s="9" t="s">
        <v>220</v>
      </c>
      <c r="B187" s="9" t="s">
        <v>26</v>
      </c>
      <c r="C187" s="9" t="n">
        <v>788</v>
      </c>
      <c r="D187" s="9" t="n">
        <v>172</v>
      </c>
      <c r="E187" s="9" t="n">
        <v>359</v>
      </c>
      <c r="F187" s="9" t="n">
        <v>9497</v>
      </c>
      <c r="G187" s="9" t="n">
        <v>40</v>
      </c>
      <c r="H187" s="9" t="n">
        <v>925791.9</v>
      </c>
      <c r="I187" s="9" t="n">
        <v>5903</v>
      </c>
      <c r="J187" s="9" t="n">
        <v>113626</v>
      </c>
      <c r="K187" s="9" t="n">
        <v>65173</v>
      </c>
      <c r="L187" s="9" t="n">
        <v>328</v>
      </c>
      <c r="M187" s="10" t="n">
        <f aca="false">IFERROR(D187/C187,0)</f>
        <v>0.218274111675127</v>
      </c>
      <c r="N187" s="10" t="n">
        <f aca="false">IFERROR(E187/C187,0)</f>
        <v>0.455583756345178</v>
      </c>
      <c r="O187" s="11" t="n">
        <f aca="false">IFERROR(F187/MAX(C187-D187,1),0)</f>
        <v>15.4172077922078</v>
      </c>
      <c r="P187" s="11" t="n">
        <f aca="false">IFERROR(F187/C187,0)</f>
        <v>12.0520304568528</v>
      </c>
      <c r="Q187" s="11" t="n">
        <f aca="false">IFERROR(H187/C187,0)</f>
        <v>1174.86281725888</v>
      </c>
      <c r="R187" s="10" t="n">
        <f aca="false">IFERROR(I187/F187,0)</f>
        <v>0.621564704643572</v>
      </c>
      <c r="S187" s="10" t="n">
        <f aca="false">IFERROR(K187/J187,0)</f>
        <v>0.573574710013553</v>
      </c>
      <c r="T187" s="12" t="s">
        <v>30</v>
      </c>
    </row>
    <row r="188" customFormat="false" ht="15" hidden="false" customHeight="false" outlineLevel="0" collapsed="false">
      <c r="A188" s="3" t="s">
        <v>221</v>
      </c>
      <c r="B188" s="3" t="s">
        <v>26</v>
      </c>
      <c r="C188" s="3" t="n">
        <v>1387</v>
      </c>
      <c r="D188" s="3" t="n">
        <v>126</v>
      </c>
      <c r="E188" s="3" t="n">
        <v>434</v>
      </c>
      <c r="F188" s="3" t="n">
        <v>3117</v>
      </c>
      <c r="G188" s="3" t="n">
        <v>11</v>
      </c>
      <c r="H188" s="3" t="n">
        <v>570523.7</v>
      </c>
      <c r="I188" s="3" t="n">
        <v>760</v>
      </c>
      <c r="J188" s="3" t="n">
        <v>248986</v>
      </c>
      <c r="K188" s="3" t="n">
        <v>23393</v>
      </c>
      <c r="L188" s="3" t="n">
        <v>489</v>
      </c>
      <c r="M188" s="4" t="n">
        <f aca="false">IFERROR(D188/C188,0)</f>
        <v>0.0908435472242249</v>
      </c>
      <c r="N188" s="4" t="n">
        <f aca="false">IFERROR(E188/C188,0)</f>
        <v>0.312905551550108</v>
      </c>
      <c r="O188" s="5" t="n">
        <f aca="false">IFERROR(F188/MAX(C188-D188,1),0)</f>
        <v>2.47184773988898</v>
      </c>
      <c r="P188" s="5" t="n">
        <f aca="false">IFERROR(F188/C188,0)</f>
        <v>2.24729632299928</v>
      </c>
      <c r="Q188" s="5" t="n">
        <f aca="false">IFERROR(H188/C188,0)</f>
        <v>411.336481614996</v>
      </c>
      <c r="R188" s="4" t="n">
        <f aca="false">IFERROR(I188/F188,0)</f>
        <v>0.243824189926211</v>
      </c>
      <c r="S188" s="4" t="n">
        <f aca="false">IFERROR(K188/J188,0)</f>
        <v>0.0939530736667925</v>
      </c>
      <c r="T188" s="6" t="s">
        <v>23</v>
      </c>
    </row>
    <row r="189" customFormat="false" ht="15" hidden="false" customHeight="false" outlineLevel="0" collapsed="false">
      <c r="A189" s="3" t="s">
        <v>222</v>
      </c>
      <c r="B189" s="3" t="s">
        <v>22</v>
      </c>
      <c r="C189" s="3" t="n">
        <v>3433</v>
      </c>
      <c r="D189" s="3" t="n">
        <v>231</v>
      </c>
      <c r="E189" s="3" t="n">
        <v>1370</v>
      </c>
      <c r="F189" s="3" t="n">
        <v>5388</v>
      </c>
      <c r="G189" s="3" t="n">
        <v>3</v>
      </c>
      <c r="H189" s="3" t="n">
        <v>1249530.2</v>
      </c>
      <c r="I189" s="3" t="n">
        <v>818</v>
      </c>
      <c r="J189" s="3" t="n">
        <v>297123</v>
      </c>
      <c r="K189" s="3" t="n">
        <v>49462</v>
      </c>
      <c r="L189" s="3" t="n">
        <v>1376</v>
      </c>
      <c r="M189" s="4" t="n">
        <f aca="false">IFERROR(D189/C189,0)</f>
        <v>0.0672880862219633</v>
      </c>
      <c r="N189" s="4" t="n">
        <f aca="false">IFERROR(E189/C189,0)</f>
        <v>0.399067870667055</v>
      </c>
      <c r="O189" s="5" t="n">
        <f aca="false">IFERROR(F189/MAX(C189-D189,1),0)</f>
        <v>1.68269831355403</v>
      </c>
      <c r="P189" s="5" t="n">
        <f aca="false">IFERROR(F189/C189,0)</f>
        <v>1.56947276434605</v>
      </c>
      <c r="Q189" s="5" t="n">
        <f aca="false">IFERROR(H189/C189,0)</f>
        <v>363.976172443927</v>
      </c>
      <c r="R189" s="4" t="n">
        <f aca="false">IFERROR(I189/F189,0)</f>
        <v>0.151818856718634</v>
      </c>
      <c r="S189" s="4" t="n">
        <f aca="false">IFERROR(K189/J189,0)</f>
        <v>0.166469778509237</v>
      </c>
      <c r="T189" s="6" t="s">
        <v>23</v>
      </c>
    </row>
    <row r="190" customFormat="false" ht="15" hidden="false" customHeight="false" outlineLevel="0" collapsed="false">
      <c r="A190" s="9" t="s">
        <v>223</v>
      </c>
      <c r="B190" s="9" t="s">
        <v>26</v>
      </c>
      <c r="C190" s="9" t="n">
        <v>3120</v>
      </c>
      <c r="D190" s="9" t="n">
        <v>983</v>
      </c>
      <c r="E190" s="9" t="n">
        <v>1974</v>
      </c>
      <c r="F190" s="9" t="n">
        <v>30383</v>
      </c>
      <c r="G190" s="9" t="n">
        <v>34</v>
      </c>
      <c r="H190" s="9" t="n">
        <v>3898723.2</v>
      </c>
      <c r="I190" s="9" t="n">
        <v>24968</v>
      </c>
      <c r="J190" s="9" t="n">
        <v>503912</v>
      </c>
      <c r="K190" s="9" t="n">
        <v>315246</v>
      </c>
      <c r="L190" s="9" t="n">
        <v>710</v>
      </c>
      <c r="M190" s="10" t="n">
        <f aca="false">IFERROR(D190/C190,0)</f>
        <v>0.315064102564103</v>
      </c>
      <c r="N190" s="10" t="n">
        <f aca="false">IFERROR(E190/C190,0)</f>
        <v>0.632692307692308</v>
      </c>
      <c r="O190" s="11" t="n">
        <f aca="false">IFERROR(F190/MAX(C190-D190,1),0)</f>
        <v>14.217594759008</v>
      </c>
      <c r="P190" s="11" t="n">
        <f aca="false">IFERROR(F190/C190,0)</f>
        <v>9.73814102564103</v>
      </c>
      <c r="Q190" s="11" t="n">
        <f aca="false">IFERROR(H190/C190,0)</f>
        <v>1249.59076923077</v>
      </c>
      <c r="R190" s="10" t="n">
        <f aca="false">IFERROR(I190/F190,0)</f>
        <v>0.821775334891222</v>
      </c>
      <c r="S190" s="10" t="n">
        <f aca="false">IFERROR(K190/J190,0)</f>
        <v>0.625597326517329</v>
      </c>
      <c r="T190" s="12" t="s">
        <v>30</v>
      </c>
    </row>
    <row r="191" customFormat="false" ht="15" hidden="false" customHeight="false" outlineLevel="0" collapsed="false">
      <c r="A191" s="3" t="s">
        <v>224</v>
      </c>
      <c r="B191" s="3" t="s">
        <v>26</v>
      </c>
      <c r="C191" s="3" t="n">
        <v>2142</v>
      </c>
      <c r="D191" s="3" t="n">
        <v>157</v>
      </c>
      <c r="E191" s="3" t="n">
        <v>847</v>
      </c>
      <c r="F191" s="3" t="n">
        <v>5237</v>
      </c>
      <c r="G191" s="3" t="n">
        <v>10</v>
      </c>
      <c r="H191" s="3" t="n">
        <v>1440120.9</v>
      </c>
      <c r="I191" s="3" t="n">
        <v>1007</v>
      </c>
      <c r="J191" s="3" t="n">
        <v>286760</v>
      </c>
      <c r="K191" s="3" t="n">
        <v>43338</v>
      </c>
      <c r="L191" s="3" t="n">
        <v>713</v>
      </c>
      <c r="M191" s="4" t="n">
        <f aca="false">IFERROR(D191/C191,0)</f>
        <v>0.073295985060691</v>
      </c>
      <c r="N191" s="4" t="n">
        <f aca="false">IFERROR(E191/C191,0)</f>
        <v>0.395424836601307</v>
      </c>
      <c r="O191" s="5" t="n">
        <f aca="false">IFERROR(F191/MAX(C191-D191,1),0)</f>
        <v>2.63828715365239</v>
      </c>
      <c r="P191" s="5" t="n">
        <f aca="false">IFERROR(F191/C191,0)</f>
        <v>2.44491129785247</v>
      </c>
      <c r="Q191" s="5" t="n">
        <f aca="false">IFERROR(H191/C191,0)</f>
        <v>672.325350140056</v>
      </c>
      <c r="R191" s="4" t="n">
        <f aca="false">IFERROR(I191/F191,0)</f>
        <v>0.192285659728852</v>
      </c>
      <c r="S191" s="4" t="n">
        <f aca="false">IFERROR(K191/J191,0)</f>
        <v>0.151129864695216</v>
      </c>
      <c r="T191" s="6" t="s">
        <v>23</v>
      </c>
    </row>
    <row r="192" customFormat="false" ht="15" hidden="false" customHeight="false" outlineLevel="0" collapsed="false">
      <c r="A192" s="3" t="s">
        <v>225</v>
      </c>
      <c r="B192" s="3" t="s">
        <v>29</v>
      </c>
      <c r="C192" s="3" t="n">
        <v>3498</v>
      </c>
      <c r="D192" s="3" t="n">
        <v>652</v>
      </c>
      <c r="E192" s="3" t="n">
        <v>1567</v>
      </c>
      <c r="F192" s="3" t="n">
        <v>14002</v>
      </c>
      <c r="G192" s="3" t="n">
        <v>16</v>
      </c>
      <c r="H192" s="3" t="n">
        <v>2030616.5</v>
      </c>
      <c r="I192" s="3" t="n">
        <v>3848</v>
      </c>
      <c r="J192" s="3" t="n">
        <v>428863</v>
      </c>
      <c r="K192" s="3" t="n">
        <v>96712</v>
      </c>
      <c r="L192" s="3" t="n">
        <v>0</v>
      </c>
      <c r="M192" s="4" t="n">
        <f aca="false">IFERROR(D192/C192,0)</f>
        <v>0.186392224128073</v>
      </c>
      <c r="N192" s="4" t="n">
        <f aca="false">IFERROR(E192/C192,0)</f>
        <v>0.447970268724986</v>
      </c>
      <c r="O192" s="5" t="n">
        <f aca="false">IFERROR(F192/MAX(C192-D192,1),0)</f>
        <v>4.91988756148981</v>
      </c>
      <c r="P192" s="5" t="n">
        <f aca="false">IFERROR(F192/C192,0)</f>
        <v>4.00285877644368</v>
      </c>
      <c r="Q192" s="5" t="n">
        <f aca="false">IFERROR(H192/C192,0)</f>
        <v>580.50786163522</v>
      </c>
      <c r="R192" s="4" t="n">
        <f aca="false">IFERROR(I192/F192,0)</f>
        <v>0.274817883159549</v>
      </c>
      <c r="S192" s="4" t="n">
        <f aca="false">IFERROR(K192/J192,0)</f>
        <v>0.225507912783336</v>
      </c>
      <c r="T192" s="6" t="s">
        <v>23</v>
      </c>
    </row>
    <row r="193" customFormat="false" ht="15" hidden="false" customHeight="false" outlineLevel="0" collapsed="false">
      <c r="A193" s="9" t="s">
        <v>226</v>
      </c>
      <c r="B193" s="9" t="s">
        <v>29</v>
      </c>
      <c r="C193" s="9" t="n">
        <v>1783</v>
      </c>
      <c r="D193" s="9" t="n">
        <v>719</v>
      </c>
      <c r="E193" s="9" t="n">
        <v>1119</v>
      </c>
      <c r="F193" s="9" t="n">
        <v>11467</v>
      </c>
      <c r="G193" s="9" t="n">
        <v>15</v>
      </c>
      <c r="H193" s="9" t="n">
        <v>1578182.6</v>
      </c>
      <c r="I193" s="9" t="n">
        <v>6792</v>
      </c>
      <c r="J193" s="9" t="n">
        <v>225170</v>
      </c>
      <c r="K193" s="9" t="n">
        <v>168608</v>
      </c>
      <c r="L193" s="9" t="n">
        <v>0</v>
      </c>
      <c r="M193" s="10" t="n">
        <f aca="false">IFERROR(D193/C193,0)</f>
        <v>0.403252944475603</v>
      </c>
      <c r="N193" s="10" t="n">
        <f aca="false">IFERROR(E193/C193,0)</f>
        <v>0.627593942793046</v>
      </c>
      <c r="O193" s="11" t="n">
        <f aca="false">IFERROR(F193/MAX(C193-D193,1),0)</f>
        <v>10.7772556390977</v>
      </c>
      <c r="P193" s="11" t="n">
        <f aca="false">IFERROR(F193/C193,0)</f>
        <v>6.43129556926528</v>
      </c>
      <c r="Q193" s="11" t="n">
        <f aca="false">IFERROR(H193/C193,0)</f>
        <v>885.127650028043</v>
      </c>
      <c r="R193" s="10" t="n">
        <f aca="false">IFERROR(I193/F193,0)</f>
        <v>0.592308363128979</v>
      </c>
      <c r="S193" s="10" t="n">
        <f aca="false">IFERROR(K193/J193,0)</f>
        <v>0.748803126526624</v>
      </c>
      <c r="T193" s="12" t="s">
        <v>30</v>
      </c>
    </row>
    <row r="194" customFormat="false" ht="15" hidden="false" customHeight="false" outlineLevel="0" collapsed="false">
      <c r="A194" s="3" t="s">
        <v>227</v>
      </c>
      <c r="B194" s="3" t="s">
        <v>22</v>
      </c>
      <c r="C194" s="3" t="n">
        <v>1057</v>
      </c>
      <c r="D194" s="3" t="n">
        <v>66</v>
      </c>
      <c r="E194" s="3" t="n">
        <v>410</v>
      </c>
      <c r="F194" s="3" t="n">
        <v>2006</v>
      </c>
      <c r="G194" s="3" t="n">
        <v>4</v>
      </c>
      <c r="H194" s="3" t="n">
        <v>237647.8</v>
      </c>
      <c r="I194" s="3" t="n">
        <v>370</v>
      </c>
      <c r="J194" s="3" t="n">
        <v>95939</v>
      </c>
      <c r="K194" s="3" t="n">
        <v>13694</v>
      </c>
      <c r="L194" s="3" t="n">
        <v>112</v>
      </c>
      <c r="M194" s="4" t="n">
        <f aca="false">IFERROR(D194/C194,0)</f>
        <v>0.0624408703878903</v>
      </c>
      <c r="N194" s="4" t="n">
        <f aca="false">IFERROR(E194/C194,0)</f>
        <v>0.387890255439924</v>
      </c>
      <c r="O194" s="5" t="n">
        <f aca="false">IFERROR(F194/MAX(C194-D194,1),0)</f>
        <v>2.02421796165489</v>
      </c>
      <c r="P194" s="5" t="n">
        <f aca="false">IFERROR(F194/C194,0)</f>
        <v>1.89782403027436</v>
      </c>
      <c r="Q194" s="5" t="n">
        <f aca="false">IFERROR(H194/C194,0)</f>
        <v>224.832355723746</v>
      </c>
      <c r="R194" s="4" t="n">
        <f aca="false">IFERROR(I194/F194,0)</f>
        <v>0.18444666001994</v>
      </c>
      <c r="S194" s="4" t="n">
        <f aca="false">IFERROR(K194/J194,0)</f>
        <v>0.142736530503758</v>
      </c>
      <c r="T194" s="6" t="s">
        <v>23</v>
      </c>
    </row>
    <row r="195" customFormat="false" ht="15" hidden="false" customHeight="false" outlineLevel="0" collapsed="false">
      <c r="A195" s="9" t="s">
        <v>228</v>
      </c>
      <c r="B195" s="9" t="s">
        <v>29</v>
      </c>
      <c r="C195" s="9" t="n">
        <v>2390</v>
      </c>
      <c r="D195" s="9" t="n">
        <v>403</v>
      </c>
      <c r="E195" s="9" t="n">
        <v>1055</v>
      </c>
      <c r="F195" s="9" t="n">
        <v>13710</v>
      </c>
      <c r="G195" s="9" t="n">
        <v>20</v>
      </c>
      <c r="H195" s="9" t="n">
        <v>1177697.2</v>
      </c>
      <c r="I195" s="9" t="n">
        <v>4798</v>
      </c>
      <c r="J195" s="9" t="n">
        <v>436375</v>
      </c>
      <c r="K195" s="9" t="n">
        <v>285910</v>
      </c>
      <c r="L195" s="9" t="n">
        <v>0</v>
      </c>
      <c r="M195" s="10" t="n">
        <f aca="false">IFERROR(D195/C195,0)</f>
        <v>0.168619246861925</v>
      </c>
      <c r="N195" s="10" t="n">
        <f aca="false">IFERROR(E195/C195,0)</f>
        <v>0.441422594142259</v>
      </c>
      <c r="O195" s="11" t="n">
        <f aca="false">IFERROR(F195/MAX(C195-D195,1),0)</f>
        <v>6.89984901862104</v>
      </c>
      <c r="P195" s="11" t="n">
        <f aca="false">IFERROR(F195/C195,0)</f>
        <v>5.73640167364017</v>
      </c>
      <c r="Q195" s="11" t="n">
        <f aca="false">IFERROR(H195/C195,0)</f>
        <v>492.760334728033</v>
      </c>
      <c r="R195" s="10" t="n">
        <f aca="false">IFERROR(I195/F195,0)</f>
        <v>0.349963530269876</v>
      </c>
      <c r="S195" s="10" t="n">
        <f aca="false">IFERROR(K195/J195,0)</f>
        <v>0.655193354339731</v>
      </c>
      <c r="T195" s="12" t="s">
        <v>30</v>
      </c>
    </row>
    <row r="196" customFormat="false" ht="15" hidden="false" customHeight="false" outlineLevel="0" collapsed="false">
      <c r="A196" s="3" t="s">
        <v>229</v>
      </c>
      <c r="B196" s="3" t="s">
        <v>29</v>
      </c>
      <c r="C196" s="3" t="n">
        <v>1679</v>
      </c>
      <c r="D196" s="3" t="n">
        <v>126</v>
      </c>
      <c r="E196" s="3" t="n">
        <v>459</v>
      </c>
      <c r="F196" s="3" t="n">
        <v>2977</v>
      </c>
      <c r="G196" s="3" t="n">
        <v>11</v>
      </c>
      <c r="H196" s="3" t="n">
        <v>677437.6</v>
      </c>
      <c r="I196" s="3" t="n">
        <v>539</v>
      </c>
      <c r="J196" s="3" t="n">
        <v>228644</v>
      </c>
      <c r="K196" s="3" t="n">
        <v>42546</v>
      </c>
      <c r="L196" s="3" t="n">
        <v>0</v>
      </c>
      <c r="M196" s="4" t="n">
        <f aca="false">IFERROR(D196/C196,0)</f>
        <v>0.0750446694460989</v>
      </c>
      <c r="N196" s="4" t="n">
        <f aca="false">IFERROR(E196/C196,0)</f>
        <v>0.273377010125074</v>
      </c>
      <c r="O196" s="5" t="n">
        <f aca="false">IFERROR(F196/MAX(C196-D196,1),0)</f>
        <v>1.91693496458467</v>
      </c>
      <c r="P196" s="5" t="n">
        <f aca="false">IFERROR(F196/C196,0)</f>
        <v>1.77307921381775</v>
      </c>
      <c r="Q196" s="5" t="n">
        <f aca="false">IFERROR(H196/C196,0)</f>
        <v>403.47683144729</v>
      </c>
      <c r="R196" s="4" t="n">
        <f aca="false">IFERROR(I196/F196,0)</f>
        <v>0.181054753107155</v>
      </c>
      <c r="S196" s="4" t="n">
        <f aca="false">IFERROR(K196/J196,0)</f>
        <v>0.186079669704869</v>
      </c>
      <c r="T196" s="6" t="s">
        <v>23</v>
      </c>
    </row>
    <row r="197" customFormat="false" ht="15" hidden="false" customHeight="false" outlineLevel="0" collapsed="false">
      <c r="A197" s="3" t="s">
        <v>230</v>
      </c>
      <c r="B197" s="3" t="s">
        <v>26</v>
      </c>
      <c r="C197" s="3" t="n">
        <v>664</v>
      </c>
      <c r="D197" s="3" t="n">
        <v>75</v>
      </c>
      <c r="E197" s="3" t="n">
        <v>195</v>
      </c>
      <c r="F197" s="3" t="n">
        <v>1830</v>
      </c>
      <c r="G197" s="3" t="n">
        <v>15</v>
      </c>
      <c r="H197" s="3" t="n">
        <v>329924.8</v>
      </c>
      <c r="I197" s="3" t="n">
        <v>427</v>
      </c>
      <c r="J197" s="3" t="n">
        <v>124310</v>
      </c>
      <c r="K197" s="3" t="n">
        <v>33308</v>
      </c>
      <c r="L197" s="3" t="n">
        <v>142</v>
      </c>
      <c r="M197" s="4" t="n">
        <f aca="false">IFERROR(D197/C197,0)</f>
        <v>0.112951807228916</v>
      </c>
      <c r="N197" s="4" t="n">
        <f aca="false">IFERROR(E197/C197,0)</f>
        <v>0.293674698795181</v>
      </c>
      <c r="O197" s="5" t="n">
        <f aca="false">IFERROR(F197/MAX(C197-D197,1),0)</f>
        <v>3.10696095076401</v>
      </c>
      <c r="P197" s="5" t="n">
        <f aca="false">IFERROR(F197/C197,0)</f>
        <v>2.75602409638554</v>
      </c>
      <c r="Q197" s="5" t="n">
        <f aca="false">IFERROR(H197/C197,0)</f>
        <v>496.874698795181</v>
      </c>
      <c r="R197" s="4" t="n">
        <f aca="false">IFERROR(I197/F197,0)</f>
        <v>0.233333333333333</v>
      </c>
      <c r="S197" s="4" t="n">
        <f aca="false">IFERROR(K197/J197,0)</f>
        <v>0.267943045611777</v>
      </c>
      <c r="T197" s="6" t="s">
        <v>23</v>
      </c>
    </row>
    <row r="198" customFormat="false" ht="15" hidden="false" customHeight="false" outlineLevel="0" collapsed="false">
      <c r="A198" s="3" t="s">
        <v>231</v>
      </c>
      <c r="B198" s="3" t="s">
        <v>26</v>
      </c>
      <c r="C198" s="3" t="n">
        <v>497</v>
      </c>
      <c r="D198" s="3" t="n">
        <v>87</v>
      </c>
      <c r="E198" s="3" t="n">
        <v>237</v>
      </c>
      <c r="F198" s="3" t="n">
        <v>1591</v>
      </c>
      <c r="G198" s="3" t="n">
        <v>16</v>
      </c>
      <c r="H198" s="3" t="n">
        <v>276573.9</v>
      </c>
      <c r="I198" s="3" t="n">
        <v>321</v>
      </c>
      <c r="J198" s="3" t="n">
        <v>63796</v>
      </c>
      <c r="K198" s="3" t="n">
        <v>11010</v>
      </c>
      <c r="L198" s="3" t="n">
        <v>174</v>
      </c>
      <c r="M198" s="4" t="n">
        <f aca="false">IFERROR(D198/C198,0)</f>
        <v>0.175050301810865</v>
      </c>
      <c r="N198" s="4" t="n">
        <f aca="false">IFERROR(E198/C198,0)</f>
        <v>0.476861167002012</v>
      </c>
      <c r="O198" s="5" t="n">
        <f aca="false">IFERROR(F198/MAX(C198-D198,1),0)</f>
        <v>3.88048780487805</v>
      </c>
      <c r="P198" s="5" t="n">
        <f aca="false">IFERROR(F198/C198,0)</f>
        <v>3.20120724346076</v>
      </c>
      <c r="Q198" s="5" t="n">
        <f aca="false">IFERROR(H198/C198,0)</f>
        <v>556.486720321932</v>
      </c>
      <c r="R198" s="4" t="n">
        <f aca="false">IFERROR(I198/F198,0)</f>
        <v>0.201759899434318</v>
      </c>
      <c r="S198" s="4" t="n">
        <f aca="false">IFERROR(K198/J198,0)</f>
        <v>0.172581353062888</v>
      </c>
      <c r="T198" s="6" t="s">
        <v>23</v>
      </c>
    </row>
    <row r="199" customFormat="false" ht="15" hidden="false" customHeight="false" outlineLevel="0" collapsed="false">
      <c r="A199" s="9" t="s">
        <v>232</v>
      </c>
      <c r="B199" s="9" t="s">
        <v>26</v>
      </c>
      <c r="C199" s="9" t="n">
        <v>2700</v>
      </c>
      <c r="D199" s="9" t="n">
        <v>934</v>
      </c>
      <c r="E199" s="9" t="n">
        <v>1614</v>
      </c>
      <c r="F199" s="9" t="n">
        <v>19753</v>
      </c>
      <c r="G199" s="9" t="n">
        <v>26</v>
      </c>
      <c r="H199" s="9" t="n">
        <v>3075992.7</v>
      </c>
      <c r="I199" s="9" t="n">
        <v>11663</v>
      </c>
      <c r="J199" s="9" t="n">
        <v>243365</v>
      </c>
      <c r="K199" s="9" t="n">
        <v>201844</v>
      </c>
      <c r="L199" s="9" t="n">
        <v>886</v>
      </c>
      <c r="M199" s="10" t="n">
        <f aca="false">IFERROR(D199/C199,0)</f>
        <v>0.345925925925926</v>
      </c>
      <c r="N199" s="10" t="n">
        <f aca="false">IFERROR(E199/C199,0)</f>
        <v>0.597777777777778</v>
      </c>
      <c r="O199" s="11" t="n">
        <f aca="false">IFERROR(F199/MAX(C199-D199,1),0)</f>
        <v>11.1851642129105</v>
      </c>
      <c r="P199" s="11" t="n">
        <f aca="false">IFERROR(F199/C199,0)</f>
        <v>7.31592592592593</v>
      </c>
      <c r="Q199" s="11" t="n">
        <f aca="false">IFERROR(H199/C199,0)</f>
        <v>1139.25655555556</v>
      </c>
      <c r="R199" s="10" t="n">
        <f aca="false">IFERROR(I199/F199,0)</f>
        <v>0.590441958183567</v>
      </c>
      <c r="S199" s="10" t="n">
        <f aca="false">IFERROR(K199/J199,0)</f>
        <v>0.829387956361843</v>
      </c>
      <c r="T199" s="12" t="s">
        <v>30</v>
      </c>
    </row>
    <row r="200" customFormat="false" ht="15" hidden="false" customHeight="false" outlineLevel="0" collapsed="false">
      <c r="A200" s="9" t="s">
        <v>233</v>
      </c>
      <c r="B200" s="9" t="s">
        <v>22</v>
      </c>
      <c r="C200" s="9" t="n">
        <v>3567</v>
      </c>
      <c r="D200" s="9" t="n">
        <v>790</v>
      </c>
      <c r="E200" s="9" t="n">
        <v>1816</v>
      </c>
      <c r="F200" s="9" t="n">
        <v>29351</v>
      </c>
      <c r="G200" s="9" t="n">
        <v>27</v>
      </c>
      <c r="H200" s="9" t="n">
        <v>3825777.1</v>
      </c>
      <c r="I200" s="9" t="n">
        <v>21838</v>
      </c>
      <c r="J200" s="9" t="n">
        <v>434453</v>
      </c>
      <c r="K200" s="9" t="n">
        <v>298463</v>
      </c>
      <c r="L200" s="9" t="n">
        <v>393</v>
      </c>
      <c r="M200" s="10" t="n">
        <f aca="false">IFERROR(D200/C200,0)</f>
        <v>0.221474628539389</v>
      </c>
      <c r="N200" s="10" t="n">
        <f aca="false">IFERROR(E200/C200,0)</f>
        <v>0.509111298009532</v>
      </c>
      <c r="O200" s="11" t="n">
        <f aca="false">IFERROR(F200/MAX(C200-D200,1),0)</f>
        <v>10.5693194094346</v>
      </c>
      <c r="P200" s="11" t="n">
        <f aca="false">IFERROR(F200/C200,0)</f>
        <v>8.22848331931595</v>
      </c>
      <c r="Q200" s="11" t="n">
        <f aca="false">IFERROR(H200/C200,0)</f>
        <v>1072.54754695823</v>
      </c>
      <c r="R200" s="10" t="n">
        <f aca="false">IFERROR(I200/F200,0)</f>
        <v>0.744029164253347</v>
      </c>
      <c r="S200" s="10" t="n">
        <f aca="false">IFERROR(K200/J200,0)</f>
        <v>0.686985703862098</v>
      </c>
      <c r="T200" s="12" t="s">
        <v>30</v>
      </c>
    </row>
    <row r="201" customFormat="false" ht="15" hidden="false" customHeight="false" outlineLevel="0" collapsed="false">
      <c r="A201" s="3" t="s">
        <v>234</v>
      </c>
      <c r="B201" s="3" t="s">
        <v>26</v>
      </c>
      <c r="C201" s="3" t="n">
        <v>3931</v>
      </c>
      <c r="D201" s="3" t="n">
        <v>592</v>
      </c>
      <c r="E201" s="3" t="n">
        <v>1824</v>
      </c>
      <c r="F201" s="3" t="n">
        <v>10788</v>
      </c>
      <c r="G201" s="3" t="n">
        <v>9</v>
      </c>
      <c r="H201" s="3" t="n">
        <v>1702838.1</v>
      </c>
      <c r="I201" s="3" t="n">
        <v>2123</v>
      </c>
      <c r="J201" s="3" t="n">
        <v>737117</v>
      </c>
      <c r="K201" s="3" t="n">
        <v>153974</v>
      </c>
      <c r="L201" s="3" t="n">
        <v>1164</v>
      </c>
      <c r="M201" s="4" t="n">
        <f aca="false">IFERROR(D201/C201,0)</f>
        <v>0.150597812261511</v>
      </c>
      <c r="N201" s="4" t="n">
        <f aca="false">IFERROR(E201/C201,0)</f>
        <v>0.464004070211142</v>
      </c>
      <c r="O201" s="5" t="n">
        <f aca="false">IFERROR(F201/MAX(C201-D201,1),0)</f>
        <v>3.23090745732255</v>
      </c>
      <c r="P201" s="5" t="n">
        <f aca="false">IFERROR(F201/C201,0)</f>
        <v>2.74433986263037</v>
      </c>
      <c r="Q201" s="5" t="n">
        <f aca="false">IFERROR(H201/C201,0)</f>
        <v>433.181912999237</v>
      </c>
      <c r="R201" s="4" t="n">
        <f aca="false">IFERROR(I201/F201,0)</f>
        <v>0.196792732665925</v>
      </c>
      <c r="S201" s="4" t="n">
        <f aca="false">IFERROR(K201/J201,0)</f>
        <v>0.208886784594576</v>
      </c>
      <c r="T201" s="6" t="s">
        <v>23</v>
      </c>
    </row>
    <row r="202" customFormat="false" ht="15" hidden="false" customHeight="false" outlineLevel="0" collapsed="false">
      <c r="A202" s="9" t="s">
        <v>235</v>
      </c>
      <c r="B202" s="9" t="s">
        <v>26</v>
      </c>
      <c r="C202" s="9" t="n">
        <v>2788</v>
      </c>
      <c r="D202" s="9" t="n">
        <v>881</v>
      </c>
      <c r="E202" s="9" t="n">
        <v>1365</v>
      </c>
      <c r="F202" s="9" t="n">
        <v>25005</v>
      </c>
      <c r="G202" s="9" t="n">
        <v>30</v>
      </c>
      <c r="H202" s="9" t="n">
        <v>2548697.4</v>
      </c>
      <c r="I202" s="9" t="n">
        <v>11890</v>
      </c>
      <c r="J202" s="9" t="n">
        <v>401650</v>
      </c>
      <c r="K202" s="9" t="n">
        <v>335795</v>
      </c>
      <c r="L202" s="9" t="n">
        <v>1174</v>
      </c>
      <c r="M202" s="10" t="n">
        <f aca="false">IFERROR(D202/C202,0)</f>
        <v>0.315997130559541</v>
      </c>
      <c r="N202" s="10" t="n">
        <f aca="false">IFERROR(E202/C202,0)</f>
        <v>0.489598278335725</v>
      </c>
      <c r="O202" s="11" t="n">
        <f aca="false">IFERROR(F202/MAX(C202-D202,1),0)</f>
        <v>13.1122181436812</v>
      </c>
      <c r="P202" s="11" t="n">
        <f aca="false">IFERROR(F202/C202,0)</f>
        <v>8.96879483500717</v>
      </c>
      <c r="Q202" s="11" t="n">
        <f aca="false">IFERROR(H202/C202,0)</f>
        <v>914.166929698709</v>
      </c>
      <c r="R202" s="10" t="n">
        <f aca="false">IFERROR(I202/F202,0)</f>
        <v>0.475504899020196</v>
      </c>
      <c r="S202" s="10" t="n">
        <f aca="false">IFERROR(K202/J202,0)</f>
        <v>0.836038839785883</v>
      </c>
      <c r="T202" s="12" t="s">
        <v>30</v>
      </c>
    </row>
    <row r="203" customFormat="false" ht="15" hidden="false" customHeight="false" outlineLevel="0" collapsed="false">
      <c r="A203" s="3" t="s">
        <v>236</v>
      </c>
      <c r="B203" s="3" t="s">
        <v>29</v>
      </c>
      <c r="C203" s="3" t="n">
        <v>2142</v>
      </c>
      <c r="D203" s="3" t="n">
        <v>292</v>
      </c>
      <c r="E203" s="3" t="n">
        <v>765</v>
      </c>
      <c r="F203" s="3" t="n">
        <v>6325</v>
      </c>
      <c r="G203" s="3" t="n">
        <v>9</v>
      </c>
      <c r="H203" s="3" t="n">
        <v>1253994.5</v>
      </c>
      <c r="I203" s="3" t="n">
        <v>1283</v>
      </c>
      <c r="J203" s="3" t="n">
        <v>335568</v>
      </c>
      <c r="K203" s="3" t="n">
        <v>80005</v>
      </c>
      <c r="L203" s="3" t="n">
        <v>0</v>
      </c>
      <c r="M203" s="4" t="n">
        <f aca="false">IFERROR(D203/C203,0)</f>
        <v>0.136321195144725</v>
      </c>
      <c r="N203" s="4" t="n">
        <f aca="false">IFERROR(E203/C203,0)</f>
        <v>0.357142857142857</v>
      </c>
      <c r="O203" s="5" t="n">
        <f aca="false">IFERROR(F203/MAX(C203-D203,1),0)</f>
        <v>3.41891891891892</v>
      </c>
      <c r="P203" s="5" t="n">
        <f aca="false">IFERROR(F203/C203,0)</f>
        <v>2.95284780578898</v>
      </c>
      <c r="Q203" s="5" t="n">
        <f aca="false">IFERROR(H203/C203,0)</f>
        <v>585.431605975724</v>
      </c>
      <c r="R203" s="4" t="n">
        <f aca="false">IFERROR(I203/F203,0)</f>
        <v>0.202845849802372</v>
      </c>
      <c r="S203" s="4" t="n">
        <f aca="false">IFERROR(K203/J203,0)</f>
        <v>0.238416654746579</v>
      </c>
      <c r="T203" s="6" t="s">
        <v>23</v>
      </c>
    </row>
    <row r="204" customFormat="false" ht="15" hidden="false" customHeight="false" outlineLevel="0" collapsed="false">
      <c r="A204" s="3" t="s">
        <v>237</v>
      </c>
      <c r="B204" s="3" t="s">
        <v>29</v>
      </c>
      <c r="C204" s="3" t="n">
        <v>3915</v>
      </c>
      <c r="D204" s="3" t="n">
        <v>678</v>
      </c>
      <c r="E204" s="3" t="n">
        <v>1443</v>
      </c>
      <c r="F204" s="3" t="n">
        <v>11888</v>
      </c>
      <c r="G204" s="3" t="n">
        <v>14</v>
      </c>
      <c r="H204" s="3" t="n">
        <v>2029645.5</v>
      </c>
      <c r="I204" s="3" t="n">
        <v>2066</v>
      </c>
      <c r="J204" s="3" t="n">
        <v>471677</v>
      </c>
      <c r="K204" s="3" t="n">
        <v>117435</v>
      </c>
      <c r="L204" s="3" t="n">
        <v>0</v>
      </c>
      <c r="M204" s="4" t="n">
        <f aca="false">IFERROR(D204/C204,0)</f>
        <v>0.173180076628353</v>
      </c>
      <c r="N204" s="4" t="n">
        <f aca="false">IFERROR(E204/C204,0)</f>
        <v>0.368582375478927</v>
      </c>
      <c r="O204" s="5" t="n">
        <f aca="false">IFERROR(F204/MAX(C204-D204,1),0)</f>
        <v>3.67253629904232</v>
      </c>
      <c r="P204" s="5" t="n">
        <f aca="false">IFERROR(F204/C204,0)</f>
        <v>3.03652618135377</v>
      </c>
      <c r="Q204" s="5" t="n">
        <f aca="false">IFERROR(H204/C204,0)</f>
        <v>518.427969348659</v>
      </c>
      <c r="R204" s="4" t="n">
        <f aca="false">IFERROR(I204/F204,0)</f>
        <v>0.17378869448183</v>
      </c>
      <c r="S204" s="4" t="n">
        <f aca="false">IFERROR(K204/J204,0)</f>
        <v>0.24897334404688</v>
      </c>
      <c r="T204" s="6" t="s">
        <v>23</v>
      </c>
    </row>
    <row r="205" customFormat="false" ht="15" hidden="false" customHeight="false" outlineLevel="0" collapsed="false">
      <c r="A205" s="3" t="s">
        <v>238</v>
      </c>
      <c r="B205" s="3" t="s">
        <v>26</v>
      </c>
      <c r="C205" s="3" t="n">
        <v>682</v>
      </c>
      <c r="D205" s="3" t="n">
        <v>90</v>
      </c>
      <c r="E205" s="3" t="n">
        <v>323</v>
      </c>
      <c r="F205" s="3" t="n">
        <v>2052</v>
      </c>
      <c r="G205" s="3" t="n">
        <v>12</v>
      </c>
      <c r="H205" s="3" t="n">
        <v>286970.4</v>
      </c>
      <c r="I205" s="3" t="n">
        <v>407</v>
      </c>
      <c r="J205" s="3" t="n">
        <v>50254</v>
      </c>
      <c r="K205" s="3" t="n">
        <v>8660</v>
      </c>
      <c r="L205" s="3" t="n">
        <v>173</v>
      </c>
      <c r="M205" s="4" t="n">
        <f aca="false">IFERROR(D205/C205,0)</f>
        <v>0.131964809384164</v>
      </c>
      <c r="N205" s="4" t="n">
        <f aca="false">IFERROR(E205/C205,0)</f>
        <v>0.473607038123167</v>
      </c>
      <c r="O205" s="5" t="n">
        <f aca="false">IFERROR(F205/MAX(C205-D205,1),0)</f>
        <v>3.46621621621622</v>
      </c>
      <c r="P205" s="5" t="n">
        <f aca="false">IFERROR(F205/C205,0)</f>
        <v>3.00879765395894</v>
      </c>
      <c r="Q205" s="5" t="n">
        <f aca="false">IFERROR(H205/C205,0)</f>
        <v>420.777712609971</v>
      </c>
      <c r="R205" s="4" t="n">
        <f aca="false">IFERROR(I205/F205,0)</f>
        <v>0.198343079922027</v>
      </c>
      <c r="S205" s="4" t="n">
        <f aca="false">IFERROR(K205/J205,0)</f>
        <v>0.172324591077327</v>
      </c>
      <c r="T205" s="6" t="s">
        <v>23</v>
      </c>
    </row>
    <row r="206" customFormat="false" ht="15" hidden="false" customHeight="false" outlineLevel="0" collapsed="false">
      <c r="A206" s="3" t="s">
        <v>239</v>
      </c>
      <c r="B206" s="3" t="s">
        <v>22</v>
      </c>
      <c r="C206" s="3" t="n">
        <v>2634</v>
      </c>
      <c r="D206" s="3" t="n">
        <v>215</v>
      </c>
      <c r="E206" s="3" t="n">
        <v>1097</v>
      </c>
      <c r="F206" s="3" t="n">
        <v>3723</v>
      </c>
      <c r="G206" s="3" t="n">
        <v>6</v>
      </c>
      <c r="H206" s="3" t="n">
        <v>1074253.7</v>
      </c>
      <c r="I206" s="3" t="n">
        <v>608</v>
      </c>
      <c r="J206" s="3" t="n">
        <v>367448</v>
      </c>
      <c r="K206" s="3" t="n">
        <v>66562</v>
      </c>
      <c r="L206" s="3" t="n">
        <v>635</v>
      </c>
      <c r="M206" s="4" t="n">
        <f aca="false">IFERROR(D206/C206,0)</f>
        <v>0.0816249050873197</v>
      </c>
      <c r="N206" s="4" t="n">
        <f aca="false">IFERROR(E206/C206,0)</f>
        <v>0.416476841305999</v>
      </c>
      <c r="O206" s="5" t="n">
        <f aca="false">IFERROR(F206/MAX(C206-D206,1),0)</f>
        <v>1.53906572964035</v>
      </c>
      <c r="P206" s="5" t="n">
        <f aca="false">IFERROR(F206/C206,0)</f>
        <v>1.41343963553531</v>
      </c>
      <c r="Q206" s="5" t="n">
        <f aca="false">IFERROR(H206/C206,0)</f>
        <v>407.841192103265</v>
      </c>
      <c r="R206" s="4" t="n">
        <f aca="false">IFERROR(I206/F206,0)</f>
        <v>0.16330915928015</v>
      </c>
      <c r="S206" s="4" t="n">
        <f aca="false">IFERROR(K206/J206,0)</f>
        <v>0.18114672008012</v>
      </c>
      <c r="T206" s="6" t="s">
        <v>23</v>
      </c>
    </row>
    <row r="207" customFormat="false" ht="15" hidden="false" customHeight="false" outlineLevel="0" collapsed="false">
      <c r="A207" s="9" t="s">
        <v>240</v>
      </c>
      <c r="B207" s="9" t="s">
        <v>29</v>
      </c>
      <c r="C207" s="9" t="n">
        <v>908</v>
      </c>
      <c r="D207" s="9" t="n">
        <v>94</v>
      </c>
      <c r="E207" s="9" t="n">
        <v>271</v>
      </c>
      <c r="F207" s="9" t="n">
        <v>3831</v>
      </c>
      <c r="G207" s="9" t="n">
        <v>12</v>
      </c>
      <c r="H207" s="9" t="n">
        <v>756005.3</v>
      </c>
      <c r="I207" s="9" t="n">
        <v>2776</v>
      </c>
      <c r="J207" s="9" t="n">
        <v>112913</v>
      </c>
      <c r="K207" s="9" t="n">
        <v>82339</v>
      </c>
      <c r="L207" s="9" t="n">
        <v>0</v>
      </c>
      <c r="M207" s="10" t="n">
        <f aca="false">IFERROR(D207/C207,0)</f>
        <v>0.10352422907489</v>
      </c>
      <c r="N207" s="10" t="n">
        <f aca="false">IFERROR(E207/C207,0)</f>
        <v>0.298458149779736</v>
      </c>
      <c r="O207" s="11" t="n">
        <f aca="false">IFERROR(F207/MAX(C207-D207,1),0)</f>
        <v>4.70638820638821</v>
      </c>
      <c r="P207" s="11" t="n">
        <f aca="false">IFERROR(F207/C207,0)</f>
        <v>4.21916299559471</v>
      </c>
      <c r="Q207" s="11" t="n">
        <f aca="false">IFERROR(H207/C207,0)</f>
        <v>832.604955947137</v>
      </c>
      <c r="R207" s="10" t="n">
        <f aca="false">IFERROR(I207/F207,0)</f>
        <v>0.724614983033151</v>
      </c>
      <c r="S207" s="10" t="n">
        <f aca="false">IFERROR(K207/J207,0)</f>
        <v>0.729225155650811</v>
      </c>
      <c r="T207" s="12" t="s">
        <v>30</v>
      </c>
    </row>
    <row r="208" customFormat="false" ht="15" hidden="false" customHeight="false" outlineLevel="0" collapsed="false">
      <c r="A208" s="3" t="s">
        <v>241</v>
      </c>
      <c r="B208" s="3" t="s">
        <v>22</v>
      </c>
      <c r="C208" s="3" t="n">
        <v>1145</v>
      </c>
      <c r="D208" s="3" t="n">
        <v>106</v>
      </c>
      <c r="E208" s="3" t="n">
        <v>475</v>
      </c>
      <c r="F208" s="3" t="n">
        <v>2532</v>
      </c>
      <c r="G208" s="3" t="n">
        <v>15</v>
      </c>
      <c r="H208" s="3" t="n">
        <v>660938</v>
      </c>
      <c r="I208" s="3" t="n">
        <v>640</v>
      </c>
      <c r="J208" s="3" t="n">
        <v>86826</v>
      </c>
      <c r="K208" s="3" t="n">
        <v>16402</v>
      </c>
      <c r="L208" s="3" t="n">
        <v>225</v>
      </c>
      <c r="M208" s="4" t="n">
        <f aca="false">IFERROR(D208/C208,0)</f>
        <v>0.0925764192139738</v>
      </c>
      <c r="N208" s="4" t="n">
        <f aca="false">IFERROR(E208/C208,0)</f>
        <v>0.414847161572052</v>
      </c>
      <c r="O208" s="5" t="n">
        <f aca="false">IFERROR(F208/MAX(C208-D208,1),0)</f>
        <v>2.43695861405197</v>
      </c>
      <c r="P208" s="5" t="n">
        <f aca="false">IFERROR(F208/C208,0)</f>
        <v>2.21135371179039</v>
      </c>
      <c r="Q208" s="5" t="n">
        <f aca="false">IFERROR(H208/C208,0)</f>
        <v>577.238427947598</v>
      </c>
      <c r="R208" s="4" t="n">
        <f aca="false">IFERROR(I208/F208,0)</f>
        <v>0.252764612954186</v>
      </c>
      <c r="S208" s="4" t="n">
        <f aca="false">IFERROR(K208/J208,0)</f>
        <v>0.188906548729643</v>
      </c>
      <c r="T208" s="6" t="s">
        <v>23</v>
      </c>
    </row>
    <row r="209" customFormat="false" ht="15" hidden="false" customHeight="false" outlineLevel="0" collapsed="false">
      <c r="A209" s="3" t="s">
        <v>242</v>
      </c>
      <c r="B209" s="3" t="s">
        <v>22</v>
      </c>
      <c r="C209" s="3" t="n">
        <v>3229</v>
      </c>
      <c r="D209" s="3" t="n">
        <v>493</v>
      </c>
      <c r="E209" s="3" t="n">
        <v>1462</v>
      </c>
      <c r="F209" s="3" t="n">
        <v>10141</v>
      </c>
      <c r="G209" s="3" t="n">
        <v>12</v>
      </c>
      <c r="H209" s="3" t="n">
        <v>1885304.5</v>
      </c>
      <c r="I209" s="3" t="n">
        <v>2278</v>
      </c>
      <c r="J209" s="3" t="n">
        <v>249170</v>
      </c>
      <c r="K209" s="3" t="n">
        <v>57432</v>
      </c>
      <c r="L209" s="3" t="n">
        <v>1140</v>
      </c>
      <c r="M209" s="4" t="n">
        <f aca="false">IFERROR(D209/C209,0)</f>
        <v>0.152678847940539</v>
      </c>
      <c r="N209" s="4" t="n">
        <f aca="false">IFERROR(E209/C209,0)</f>
        <v>0.452771755961598</v>
      </c>
      <c r="O209" s="5" t="n">
        <f aca="false">IFERROR(F209/MAX(C209-D209,1),0)</f>
        <v>3.70650584795322</v>
      </c>
      <c r="P209" s="5" t="n">
        <f aca="false">IFERROR(F209/C209,0)</f>
        <v>3.14060080520285</v>
      </c>
      <c r="Q209" s="5" t="n">
        <f aca="false">IFERROR(H209/C209,0)</f>
        <v>583.866367296377</v>
      </c>
      <c r="R209" s="4" t="n">
        <f aca="false">IFERROR(I209/F209,0)</f>
        <v>0.224632679222956</v>
      </c>
      <c r="S209" s="4" t="n">
        <f aca="false">IFERROR(K209/J209,0)</f>
        <v>0.230493237548662</v>
      </c>
      <c r="T209" s="6" t="s">
        <v>23</v>
      </c>
    </row>
    <row r="210" customFormat="false" ht="15" hidden="false" customHeight="false" outlineLevel="0" collapsed="false">
      <c r="A210" s="3" t="s">
        <v>243</v>
      </c>
      <c r="B210" s="3" t="s">
        <v>22</v>
      </c>
      <c r="C210" s="3" t="n">
        <v>1597</v>
      </c>
      <c r="D210" s="3" t="n">
        <v>168</v>
      </c>
      <c r="E210" s="3" t="n">
        <v>656</v>
      </c>
      <c r="F210" s="3" t="n">
        <v>4234</v>
      </c>
      <c r="G210" s="3" t="n">
        <v>11</v>
      </c>
      <c r="H210" s="3" t="n">
        <v>606359</v>
      </c>
      <c r="I210" s="3" t="n">
        <v>603</v>
      </c>
      <c r="J210" s="3" t="n">
        <v>277328</v>
      </c>
      <c r="K210" s="3" t="n">
        <v>34620</v>
      </c>
      <c r="L210" s="3" t="n">
        <v>265</v>
      </c>
      <c r="M210" s="4" t="n">
        <f aca="false">IFERROR(D210/C210,0)</f>
        <v>0.105197244834064</v>
      </c>
      <c r="N210" s="4" t="n">
        <f aca="false">IFERROR(E210/C210,0)</f>
        <v>0.410770194113964</v>
      </c>
      <c r="O210" s="5" t="n">
        <f aca="false">IFERROR(F210/MAX(C210-D210,1),0)</f>
        <v>2.962911126662</v>
      </c>
      <c r="P210" s="5" t="n">
        <f aca="false">IFERROR(F210/C210,0)</f>
        <v>2.65122103944897</v>
      </c>
      <c r="Q210" s="5" t="n">
        <f aca="false">IFERROR(H210/C210,0)</f>
        <v>379.686286787727</v>
      </c>
      <c r="R210" s="4" t="n">
        <f aca="false">IFERROR(I210/F210,0)</f>
        <v>0.142418516769013</v>
      </c>
      <c r="S210" s="4" t="n">
        <f aca="false">IFERROR(K210/J210,0)</f>
        <v>0.124834131425604</v>
      </c>
      <c r="T210" s="6" t="s">
        <v>23</v>
      </c>
    </row>
    <row r="211" customFormat="false" ht="15" hidden="false" customHeight="false" outlineLevel="0" collapsed="false">
      <c r="A211" s="9" t="s">
        <v>244</v>
      </c>
      <c r="B211" s="9" t="s">
        <v>26</v>
      </c>
      <c r="C211" s="9" t="n">
        <v>331</v>
      </c>
      <c r="D211" s="9" t="n">
        <v>131</v>
      </c>
      <c r="E211" s="9" t="n">
        <v>183</v>
      </c>
      <c r="F211" s="9" t="n">
        <v>3155</v>
      </c>
      <c r="G211" s="9" t="n">
        <v>25</v>
      </c>
      <c r="H211" s="9" t="n">
        <v>356809.8</v>
      </c>
      <c r="I211" s="9" t="n">
        <v>2216</v>
      </c>
      <c r="J211" s="9" t="n">
        <v>46276</v>
      </c>
      <c r="K211" s="9" t="n">
        <v>25705</v>
      </c>
      <c r="L211" s="9" t="n">
        <v>85</v>
      </c>
      <c r="M211" s="10" t="n">
        <f aca="false">IFERROR(D211/C211,0)</f>
        <v>0.395770392749245</v>
      </c>
      <c r="N211" s="10" t="n">
        <f aca="false">IFERROR(E211/C211,0)</f>
        <v>0.552870090634441</v>
      </c>
      <c r="O211" s="11" t="n">
        <f aca="false">IFERROR(F211/MAX(C211-D211,1),0)</f>
        <v>15.775</v>
      </c>
      <c r="P211" s="11" t="n">
        <f aca="false">IFERROR(F211/C211,0)</f>
        <v>9.53172205438066</v>
      </c>
      <c r="Q211" s="11" t="n">
        <f aca="false">IFERROR(H211/C211,0)</f>
        <v>1077.9752265861</v>
      </c>
      <c r="R211" s="10" t="n">
        <f aca="false">IFERROR(I211/F211,0)</f>
        <v>0.702377179080824</v>
      </c>
      <c r="S211" s="10" t="n">
        <f aca="false">IFERROR(K211/J211,0)</f>
        <v>0.555471518713804</v>
      </c>
      <c r="T211" s="12" t="s">
        <v>30</v>
      </c>
    </row>
    <row r="212" customFormat="false" ht="15" hidden="false" customHeight="false" outlineLevel="0" collapsed="false">
      <c r="A212" s="9" t="s">
        <v>245</v>
      </c>
      <c r="B212" s="9" t="s">
        <v>26</v>
      </c>
      <c r="C212" s="9" t="n">
        <v>1997</v>
      </c>
      <c r="D212" s="9" t="n">
        <v>342</v>
      </c>
      <c r="E212" s="9" t="n">
        <v>1017</v>
      </c>
      <c r="F212" s="9" t="n">
        <v>18635</v>
      </c>
      <c r="G212" s="9" t="n">
        <v>27</v>
      </c>
      <c r="H212" s="9" t="n">
        <v>2123658.9</v>
      </c>
      <c r="I212" s="9" t="n">
        <v>6931</v>
      </c>
      <c r="J212" s="9" t="n">
        <v>328842</v>
      </c>
      <c r="K212" s="9" t="n">
        <v>177527</v>
      </c>
      <c r="L212" s="9" t="n">
        <v>348</v>
      </c>
      <c r="M212" s="10" t="n">
        <f aca="false">IFERROR(D212/C212,0)</f>
        <v>0.171256885327992</v>
      </c>
      <c r="N212" s="10" t="n">
        <f aca="false">IFERROR(E212/C212,0)</f>
        <v>0.509263895843766</v>
      </c>
      <c r="O212" s="11" t="n">
        <f aca="false">IFERROR(F212/MAX(C212-D212,1),0)</f>
        <v>11.2598187311178</v>
      </c>
      <c r="P212" s="11" t="n">
        <f aca="false">IFERROR(F212/C212,0)</f>
        <v>9.3314972458688</v>
      </c>
      <c r="Q212" s="11" t="n">
        <f aca="false">IFERROR(H212/C212,0)</f>
        <v>1063.42458688032</v>
      </c>
      <c r="R212" s="10" t="n">
        <f aca="false">IFERROR(I212/F212,0)</f>
        <v>0.371934531795009</v>
      </c>
      <c r="S212" s="10" t="n">
        <f aca="false">IFERROR(K212/J212,0)</f>
        <v>0.539855006355636</v>
      </c>
      <c r="T212" s="12" t="s">
        <v>30</v>
      </c>
    </row>
    <row r="213" customFormat="false" ht="15" hidden="false" customHeight="false" outlineLevel="0" collapsed="false">
      <c r="A213" s="3" t="s">
        <v>246</v>
      </c>
      <c r="B213" s="3" t="s">
        <v>22</v>
      </c>
      <c r="C213" s="3" t="n">
        <v>1611</v>
      </c>
      <c r="D213" s="3" t="n">
        <v>229</v>
      </c>
      <c r="E213" s="3" t="n">
        <v>786</v>
      </c>
      <c r="F213" s="3" t="n">
        <v>4828</v>
      </c>
      <c r="G213" s="3" t="n">
        <v>14</v>
      </c>
      <c r="H213" s="3" t="n">
        <v>568311.3</v>
      </c>
      <c r="I213" s="3" t="n">
        <v>1240</v>
      </c>
      <c r="J213" s="3" t="n">
        <v>245229</v>
      </c>
      <c r="K213" s="3" t="n">
        <v>64992</v>
      </c>
      <c r="L213" s="3" t="n">
        <v>379</v>
      </c>
      <c r="M213" s="4" t="n">
        <f aca="false">IFERROR(D213/C213,0)</f>
        <v>0.142147734326505</v>
      </c>
      <c r="N213" s="4" t="n">
        <f aca="false">IFERROR(E213/C213,0)</f>
        <v>0.487895716945996</v>
      </c>
      <c r="O213" s="5" t="n">
        <f aca="false">IFERROR(F213/MAX(C213-D213,1),0)</f>
        <v>3.49348769898698</v>
      </c>
      <c r="P213" s="5" t="n">
        <f aca="false">IFERROR(F213/C213,0)</f>
        <v>2.99689633767846</v>
      </c>
      <c r="Q213" s="5" t="n">
        <f aca="false">IFERROR(H213/C213,0)</f>
        <v>352.769273743017</v>
      </c>
      <c r="R213" s="4" t="n">
        <f aca="false">IFERROR(I213/F213,0)</f>
        <v>0.256835128417564</v>
      </c>
      <c r="S213" s="4" t="n">
        <f aca="false">IFERROR(K213/J213,0)</f>
        <v>0.26502575144049</v>
      </c>
      <c r="T213" s="6" t="s">
        <v>23</v>
      </c>
    </row>
    <row r="214" customFormat="false" ht="15" hidden="false" customHeight="false" outlineLevel="0" collapsed="false">
      <c r="A214" s="9" t="s">
        <v>247</v>
      </c>
      <c r="B214" s="9" t="s">
        <v>29</v>
      </c>
      <c r="C214" s="9" t="n">
        <v>646</v>
      </c>
      <c r="D214" s="9" t="n">
        <v>133</v>
      </c>
      <c r="E214" s="9" t="n">
        <v>276</v>
      </c>
      <c r="F214" s="9" t="n">
        <v>1615</v>
      </c>
      <c r="G214" s="9" t="n">
        <v>5</v>
      </c>
      <c r="H214" s="9" t="n">
        <v>319523.2</v>
      </c>
      <c r="I214" s="9" t="n">
        <v>968</v>
      </c>
      <c r="J214" s="9" t="n">
        <v>59766</v>
      </c>
      <c r="K214" s="9" t="n">
        <v>33052</v>
      </c>
      <c r="L214" s="9" t="n">
        <v>0</v>
      </c>
      <c r="M214" s="10" t="n">
        <f aca="false">IFERROR(D214/C214,0)</f>
        <v>0.205882352941176</v>
      </c>
      <c r="N214" s="10" t="n">
        <f aca="false">IFERROR(E214/C214,0)</f>
        <v>0.427244582043344</v>
      </c>
      <c r="O214" s="11" t="n">
        <f aca="false">IFERROR(F214/MAX(C214-D214,1),0)</f>
        <v>3.14814814814815</v>
      </c>
      <c r="P214" s="11" t="n">
        <f aca="false">IFERROR(F214/C214,0)</f>
        <v>2.5</v>
      </c>
      <c r="Q214" s="11" t="n">
        <f aca="false">IFERROR(H214/C214,0)</f>
        <v>494.617956656347</v>
      </c>
      <c r="R214" s="10" t="n">
        <f aca="false">IFERROR(I214/F214,0)</f>
        <v>0.59938080495356</v>
      </c>
      <c r="S214" s="10" t="n">
        <f aca="false">IFERROR(K214/J214,0)</f>
        <v>0.553023458153465</v>
      </c>
      <c r="T214" s="12" t="s">
        <v>30</v>
      </c>
    </row>
    <row r="215" customFormat="false" ht="15" hidden="false" customHeight="false" outlineLevel="0" collapsed="false">
      <c r="A215" s="3" t="s">
        <v>248</v>
      </c>
      <c r="B215" s="3" t="s">
        <v>26</v>
      </c>
      <c r="C215" s="3" t="n">
        <v>1409</v>
      </c>
      <c r="D215" s="3" t="n">
        <v>99</v>
      </c>
      <c r="E215" s="3" t="n">
        <v>376</v>
      </c>
      <c r="F215" s="3" t="n">
        <v>3795</v>
      </c>
      <c r="G215" s="3" t="n">
        <v>12</v>
      </c>
      <c r="H215" s="3" t="n">
        <v>554185.3</v>
      </c>
      <c r="I215" s="3" t="n">
        <v>712</v>
      </c>
      <c r="J215" s="3" t="n">
        <v>129729</v>
      </c>
      <c r="K215" s="3" t="n">
        <v>21061</v>
      </c>
      <c r="L215" s="3" t="n">
        <v>490</v>
      </c>
      <c r="M215" s="4" t="n">
        <f aca="false">IFERROR(D215/C215,0)</f>
        <v>0.0702625975869411</v>
      </c>
      <c r="N215" s="4" t="n">
        <f aca="false">IFERROR(E215/C215,0)</f>
        <v>0.266855926188786</v>
      </c>
      <c r="O215" s="5" t="n">
        <f aca="false">IFERROR(F215/MAX(C215-D215,1),0)</f>
        <v>2.8969465648855</v>
      </c>
      <c r="P215" s="5" t="n">
        <f aca="false">IFERROR(F215/C215,0)</f>
        <v>2.69339957416608</v>
      </c>
      <c r="Q215" s="5" t="n">
        <f aca="false">IFERROR(H215/C215,0)</f>
        <v>393.318168914124</v>
      </c>
      <c r="R215" s="4" t="n">
        <f aca="false">IFERROR(I215/F215,0)</f>
        <v>0.187615283267457</v>
      </c>
      <c r="S215" s="4" t="n">
        <f aca="false">IFERROR(K215/J215,0)</f>
        <v>0.162346121530267</v>
      </c>
      <c r="T215" s="6" t="s">
        <v>23</v>
      </c>
    </row>
    <row r="216" customFormat="false" ht="15" hidden="false" customHeight="false" outlineLevel="0" collapsed="false">
      <c r="A216" s="3" t="s">
        <v>249</v>
      </c>
      <c r="B216" s="3" t="s">
        <v>29</v>
      </c>
      <c r="C216" s="3" t="n">
        <v>3360</v>
      </c>
      <c r="D216" s="3" t="n">
        <v>515</v>
      </c>
      <c r="E216" s="3" t="n">
        <v>1164</v>
      </c>
      <c r="F216" s="3" t="n">
        <v>11203</v>
      </c>
      <c r="G216" s="3" t="n">
        <v>15</v>
      </c>
      <c r="H216" s="3" t="n">
        <v>1559507.8</v>
      </c>
      <c r="I216" s="3" t="n">
        <v>2355</v>
      </c>
      <c r="J216" s="3" t="n">
        <v>299222</v>
      </c>
      <c r="K216" s="3" t="n">
        <v>69518</v>
      </c>
      <c r="L216" s="3" t="n">
        <v>0</v>
      </c>
      <c r="M216" s="4" t="n">
        <f aca="false">IFERROR(D216/C216,0)</f>
        <v>0.15327380952381</v>
      </c>
      <c r="N216" s="4" t="n">
        <f aca="false">IFERROR(E216/C216,0)</f>
        <v>0.346428571428571</v>
      </c>
      <c r="O216" s="5" t="n">
        <f aca="false">IFERROR(F216/MAX(C216-D216,1),0)</f>
        <v>3.9377855887522</v>
      </c>
      <c r="P216" s="5" t="n">
        <f aca="false">IFERROR(F216/C216,0)</f>
        <v>3.33422619047619</v>
      </c>
      <c r="Q216" s="5" t="n">
        <f aca="false">IFERROR(H216/C216,0)</f>
        <v>464.139226190476</v>
      </c>
      <c r="R216" s="4" t="n">
        <f aca="false">IFERROR(I216/F216,0)</f>
        <v>0.210211550477551</v>
      </c>
      <c r="S216" s="4" t="n">
        <f aca="false">IFERROR(K216/J216,0)</f>
        <v>0.232329173657017</v>
      </c>
      <c r="T216" s="6" t="s">
        <v>23</v>
      </c>
    </row>
    <row r="217" customFormat="false" ht="15" hidden="false" customHeight="false" outlineLevel="0" collapsed="false">
      <c r="A217" s="3" t="s">
        <v>250</v>
      </c>
      <c r="B217" s="3" t="s">
        <v>22</v>
      </c>
      <c r="C217" s="3" t="n">
        <v>1046</v>
      </c>
      <c r="D217" s="3" t="n">
        <v>80</v>
      </c>
      <c r="E217" s="3" t="n">
        <v>379</v>
      </c>
      <c r="F217" s="3" t="n">
        <v>2994</v>
      </c>
      <c r="G217" s="3" t="n">
        <v>9</v>
      </c>
      <c r="H217" s="3" t="n">
        <v>351761.3</v>
      </c>
      <c r="I217" s="3" t="n">
        <v>434</v>
      </c>
      <c r="J217" s="3" t="n">
        <v>125161</v>
      </c>
      <c r="K217" s="3" t="n">
        <v>20290</v>
      </c>
      <c r="L217" s="3" t="n">
        <v>246</v>
      </c>
      <c r="M217" s="4" t="n">
        <f aca="false">IFERROR(D217/C217,0)</f>
        <v>0.0764818355640535</v>
      </c>
      <c r="N217" s="4" t="n">
        <f aca="false">IFERROR(E217/C217,0)</f>
        <v>0.362332695984704</v>
      </c>
      <c r="O217" s="5" t="n">
        <f aca="false">IFERROR(F217/MAX(C217-D217,1),0)</f>
        <v>3.09937888198758</v>
      </c>
      <c r="P217" s="5" t="n">
        <f aca="false">IFERROR(F217/C217,0)</f>
        <v>2.8623326959847</v>
      </c>
      <c r="Q217" s="5" t="n">
        <f aca="false">IFERROR(H217/C217,0)</f>
        <v>336.291873804971</v>
      </c>
      <c r="R217" s="4" t="n">
        <f aca="false">IFERROR(I217/F217,0)</f>
        <v>0.144956579826319</v>
      </c>
      <c r="S217" s="4" t="n">
        <f aca="false">IFERROR(K217/J217,0)</f>
        <v>0.162111200773404</v>
      </c>
      <c r="T217" s="6" t="s">
        <v>23</v>
      </c>
    </row>
    <row r="218" customFormat="false" ht="15" hidden="false" customHeight="false" outlineLevel="0" collapsed="false">
      <c r="A218" s="3" t="s">
        <v>251</v>
      </c>
      <c r="B218" s="3" t="s">
        <v>22</v>
      </c>
      <c r="C218" s="3" t="n">
        <v>1160</v>
      </c>
      <c r="D218" s="3" t="n">
        <v>37</v>
      </c>
      <c r="E218" s="3" t="n">
        <v>278</v>
      </c>
      <c r="F218" s="3" t="n">
        <v>1620</v>
      </c>
      <c r="G218" s="3" t="n">
        <v>6</v>
      </c>
      <c r="H218" s="3" t="n">
        <v>278102.9</v>
      </c>
      <c r="I218" s="3" t="n">
        <v>152</v>
      </c>
      <c r="J218" s="3" t="n">
        <v>134334</v>
      </c>
      <c r="K218" s="3" t="n">
        <v>21601</v>
      </c>
      <c r="L218" s="3" t="n">
        <v>354</v>
      </c>
      <c r="M218" s="4" t="n">
        <f aca="false">IFERROR(D218/C218,0)</f>
        <v>0.0318965517241379</v>
      </c>
      <c r="N218" s="4" t="n">
        <f aca="false">IFERROR(E218/C218,0)</f>
        <v>0.239655172413793</v>
      </c>
      <c r="O218" s="5" t="n">
        <f aca="false">IFERROR(F218/MAX(C218-D218,1),0)</f>
        <v>1.44256455921638</v>
      </c>
      <c r="P218" s="5" t="n">
        <f aca="false">IFERROR(F218/C218,0)</f>
        <v>1.39655172413793</v>
      </c>
      <c r="Q218" s="5" t="n">
        <f aca="false">IFERROR(H218/C218,0)</f>
        <v>239.743879310345</v>
      </c>
      <c r="R218" s="4" t="n">
        <f aca="false">IFERROR(I218/F218,0)</f>
        <v>0.0938271604938272</v>
      </c>
      <c r="S218" s="4" t="n">
        <f aca="false">IFERROR(K218/J218,0)</f>
        <v>0.16080069081543</v>
      </c>
      <c r="T218" s="6" t="s">
        <v>23</v>
      </c>
    </row>
    <row r="219" customFormat="false" ht="15" hidden="false" customHeight="false" outlineLevel="0" collapsed="false">
      <c r="A219" s="3" t="s">
        <v>252</v>
      </c>
      <c r="B219" s="3" t="s">
        <v>29</v>
      </c>
      <c r="C219" s="3" t="n">
        <v>1746</v>
      </c>
      <c r="D219" s="3" t="n">
        <v>185</v>
      </c>
      <c r="E219" s="3" t="n">
        <v>603</v>
      </c>
      <c r="F219" s="3" t="n">
        <v>4321</v>
      </c>
      <c r="G219" s="3" t="n">
        <v>10</v>
      </c>
      <c r="H219" s="3" t="n">
        <v>680029.4</v>
      </c>
      <c r="I219" s="3" t="n">
        <v>1035</v>
      </c>
      <c r="J219" s="3" t="n">
        <v>176559</v>
      </c>
      <c r="K219" s="3" t="n">
        <v>33983</v>
      </c>
      <c r="L219" s="3" t="n">
        <v>0</v>
      </c>
      <c r="M219" s="4" t="n">
        <f aca="false">IFERROR(D219/C219,0)</f>
        <v>0.105956471935853</v>
      </c>
      <c r="N219" s="4" t="n">
        <f aca="false">IFERROR(E219/C219,0)</f>
        <v>0.345360824742268</v>
      </c>
      <c r="O219" s="5" t="n">
        <f aca="false">IFERROR(F219/MAX(C219-D219,1),0)</f>
        <v>2.76809737347854</v>
      </c>
      <c r="P219" s="5" t="n">
        <f aca="false">IFERROR(F219/C219,0)</f>
        <v>2.47479954180985</v>
      </c>
      <c r="Q219" s="5" t="n">
        <f aca="false">IFERROR(H219/C219,0)</f>
        <v>389.478465063001</v>
      </c>
      <c r="R219" s="4" t="n">
        <f aca="false">IFERROR(I219/F219,0)</f>
        <v>0.23952788706318</v>
      </c>
      <c r="S219" s="4" t="n">
        <f aca="false">IFERROR(K219/J219,0)</f>
        <v>0.192473903907476</v>
      </c>
      <c r="T219" s="6" t="s">
        <v>23</v>
      </c>
    </row>
    <row r="220" customFormat="false" ht="15" hidden="false" customHeight="false" outlineLevel="0" collapsed="false">
      <c r="A220" s="3" t="s">
        <v>253</v>
      </c>
      <c r="B220" s="3" t="s">
        <v>29</v>
      </c>
      <c r="C220" s="3" t="n">
        <v>2187</v>
      </c>
      <c r="D220" s="3" t="n">
        <v>82</v>
      </c>
      <c r="E220" s="3" t="n">
        <v>705</v>
      </c>
      <c r="F220" s="3" t="n">
        <v>2623</v>
      </c>
      <c r="G220" s="3" t="n">
        <v>5</v>
      </c>
      <c r="H220" s="3" t="n">
        <v>617932.9</v>
      </c>
      <c r="I220" s="3" t="n">
        <v>318</v>
      </c>
      <c r="J220" s="3" t="n">
        <v>392366</v>
      </c>
      <c r="K220" s="3" t="n">
        <v>65512</v>
      </c>
      <c r="L220" s="3" t="n">
        <v>0</v>
      </c>
      <c r="M220" s="4" t="n">
        <f aca="false">IFERROR(D220/C220,0)</f>
        <v>0.0374942844078647</v>
      </c>
      <c r="N220" s="4" t="n">
        <f aca="false">IFERROR(E220/C220,0)</f>
        <v>0.322359396433471</v>
      </c>
      <c r="O220" s="5" t="n">
        <f aca="false">IFERROR(F220/MAX(C220-D220,1),0)</f>
        <v>1.24608076009501</v>
      </c>
      <c r="P220" s="5" t="n">
        <f aca="false">IFERROR(F220/C220,0)</f>
        <v>1.19935985368084</v>
      </c>
      <c r="Q220" s="5" t="n">
        <f aca="false">IFERROR(H220/C220,0)</f>
        <v>282.548193872885</v>
      </c>
      <c r="R220" s="4" t="n">
        <f aca="false">IFERROR(I220/F220,0)</f>
        <v>0.121235226839497</v>
      </c>
      <c r="S220" s="4" t="n">
        <f aca="false">IFERROR(K220/J220,0)</f>
        <v>0.166966556735293</v>
      </c>
      <c r="T220" s="6" t="s">
        <v>23</v>
      </c>
    </row>
    <row r="221" customFormat="false" ht="15" hidden="false" customHeight="false" outlineLevel="0" collapsed="false">
      <c r="A221" s="3" t="s">
        <v>254</v>
      </c>
      <c r="B221" s="3" t="s">
        <v>22</v>
      </c>
      <c r="C221" s="3" t="n">
        <v>218</v>
      </c>
      <c r="D221" s="3" t="n">
        <v>12</v>
      </c>
      <c r="E221" s="3" t="n">
        <v>63</v>
      </c>
      <c r="F221" s="3" t="n">
        <v>378</v>
      </c>
      <c r="G221" s="3" t="n">
        <v>8</v>
      </c>
      <c r="H221" s="3" t="n">
        <v>25729.1</v>
      </c>
      <c r="I221" s="3" t="n">
        <v>44</v>
      </c>
      <c r="J221" s="3" t="n">
        <v>35734</v>
      </c>
      <c r="K221" s="3" t="n">
        <v>1787</v>
      </c>
      <c r="L221" s="3" t="n">
        <v>37</v>
      </c>
      <c r="M221" s="4" t="n">
        <f aca="false">IFERROR(D221/C221,0)</f>
        <v>0.055045871559633</v>
      </c>
      <c r="N221" s="4" t="n">
        <f aca="false">IFERROR(E221/C221,0)</f>
        <v>0.288990825688073</v>
      </c>
      <c r="O221" s="5" t="n">
        <f aca="false">IFERROR(F221/MAX(C221-D221,1),0)</f>
        <v>1.83495145631068</v>
      </c>
      <c r="P221" s="5" t="n">
        <f aca="false">IFERROR(F221/C221,0)</f>
        <v>1.73394495412844</v>
      </c>
      <c r="Q221" s="5" t="n">
        <f aca="false">IFERROR(H221/C221,0)</f>
        <v>118.023394495413</v>
      </c>
      <c r="R221" s="4" t="n">
        <f aca="false">IFERROR(I221/F221,0)</f>
        <v>0.116402116402116</v>
      </c>
      <c r="S221" s="4" t="n">
        <f aca="false">IFERROR(K221/J221,0)</f>
        <v>0.0500083953657581</v>
      </c>
      <c r="T221" s="6" t="s">
        <v>23</v>
      </c>
    </row>
    <row r="222" customFormat="false" ht="15" hidden="false" customHeight="false" outlineLevel="0" collapsed="false">
      <c r="A222" s="9" t="s">
        <v>255</v>
      </c>
      <c r="B222" s="9" t="s">
        <v>22</v>
      </c>
      <c r="C222" s="9" t="n">
        <v>3120</v>
      </c>
      <c r="D222" s="9" t="n">
        <v>488</v>
      </c>
      <c r="E222" s="9" t="n">
        <v>1020</v>
      </c>
      <c r="F222" s="9" t="n">
        <v>12421</v>
      </c>
      <c r="G222" s="9" t="n">
        <v>11</v>
      </c>
      <c r="H222" s="9" t="n">
        <v>2209112.8</v>
      </c>
      <c r="I222" s="9" t="n">
        <v>9821</v>
      </c>
      <c r="J222" s="9" t="n">
        <v>548036</v>
      </c>
      <c r="K222" s="9" t="n">
        <v>265988</v>
      </c>
      <c r="L222" s="9" t="n">
        <v>707</v>
      </c>
      <c r="M222" s="10" t="n">
        <f aca="false">IFERROR(D222/C222,0)</f>
        <v>0.156410256410256</v>
      </c>
      <c r="N222" s="10" t="n">
        <f aca="false">IFERROR(E222/C222,0)</f>
        <v>0.326923076923077</v>
      </c>
      <c r="O222" s="11" t="n">
        <f aca="false">IFERROR(F222/MAX(C222-D222,1),0)</f>
        <v>4.71922492401216</v>
      </c>
      <c r="P222" s="11" t="n">
        <f aca="false">IFERROR(F222/C222,0)</f>
        <v>3.98108974358974</v>
      </c>
      <c r="Q222" s="11" t="n">
        <f aca="false">IFERROR(H222/C222,0)</f>
        <v>708.048974358974</v>
      </c>
      <c r="R222" s="10" t="n">
        <f aca="false">IFERROR(I222/F222,0)</f>
        <v>0.790677079140166</v>
      </c>
      <c r="S222" s="10" t="n">
        <f aca="false">IFERROR(K222/J222,0)</f>
        <v>0.485347677889774</v>
      </c>
      <c r="T222" s="12" t="s">
        <v>30</v>
      </c>
    </row>
    <row r="223" customFormat="false" ht="15" hidden="false" customHeight="false" outlineLevel="0" collapsed="false">
      <c r="A223" s="3" t="s">
        <v>256</v>
      </c>
      <c r="B223" s="3" t="s">
        <v>22</v>
      </c>
      <c r="C223" s="3" t="n">
        <v>2275</v>
      </c>
      <c r="D223" s="3" t="n">
        <v>237</v>
      </c>
      <c r="E223" s="3" t="n">
        <v>825</v>
      </c>
      <c r="F223" s="3" t="n">
        <v>6074</v>
      </c>
      <c r="G223" s="3" t="n">
        <v>12</v>
      </c>
      <c r="H223" s="3" t="n">
        <v>1116084.5</v>
      </c>
      <c r="I223" s="3" t="n">
        <v>1017</v>
      </c>
      <c r="J223" s="3" t="n">
        <v>169902</v>
      </c>
      <c r="K223" s="3" t="n">
        <v>27099</v>
      </c>
      <c r="L223" s="3" t="n">
        <v>825</v>
      </c>
      <c r="M223" s="4" t="n">
        <f aca="false">IFERROR(D223/C223,0)</f>
        <v>0.104175824175824</v>
      </c>
      <c r="N223" s="4" t="n">
        <f aca="false">IFERROR(E223/C223,0)</f>
        <v>0.362637362637363</v>
      </c>
      <c r="O223" s="5" t="n">
        <f aca="false">IFERROR(F223/MAX(C223-D223,1),0)</f>
        <v>2.98037291462218</v>
      </c>
      <c r="P223" s="5" t="n">
        <f aca="false">IFERROR(F223/C223,0)</f>
        <v>2.66989010989011</v>
      </c>
      <c r="Q223" s="5" t="n">
        <f aca="false">IFERROR(H223/C223,0)</f>
        <v>490.586593406593</v>
      </c>
      <c r="R223" s="4" t="n">
        <f aca="false">IFERROR(I223/F223,0)</f>
        <v>0.167434968719131</v>
      </c>
      <c r="S223" s="4" t="n">
        <f aca="false">IFERROR(K223/J223,0)</f>
        <v>0.159497828159763</v>
      </c>
      <c r="T223" s="6" t="s">
        <v>23</v>
      </c>
    </row>
    <row r="224" customFormat="false" ht="15" hidden="false" customHeight="false" outlineLevel="0" collapsed="false">
      <c r="A224" s="3" t="s">
        <v>257</v>
      </c>
      <c r="B224" s="3" t="s">
        <v>22</v>
      </c>
      <c r="C224" s="3" t="n">
        <v>1620</v>
      </c>
      <c r="D224" s="3" t="n">
        <v>120</v>
      </c>
      <c r="E224" s="3" t="n">
        <v>409</v>
      </c>
      <c r="F224" s="3" t="n">
        <v>3422</v>
      </c>
      <c r="G224" s="3" t="n">
        <v>13</v>
      </c>
      <c r="H224" s="3" t="n">
        <v>598390.8</v>
      </c>
      <c r="I224" s="3" t="n">
        <v>590</v>
      </c>
      <c r="J224" s="3" t="n">
        <v>143295</v>
      </c>
      <c r="K224" s="3" t="n">
        <v>17144</v>
      </c>
      <c r="L224" s="3" t="n">
        <v>500</v>
      </c>
      <c r="M224" s="4" t="n">
        <f aca="false">IFERROR(D224/C224,0)</f>
        <v>0.0740740740740741</v>
      </c>
      <c r="N224" s="4" t="n">
        <f aca="false">IFERROR(E224/C224,0)</f>
        <v>0.252469135802469</v>
      </c>
      <c r="O224" s="5" t="n">
        <f aca="false">IFERROR(F224/MAX(C224-D224,1),0)</f>
        <v>2.28133333333333</v>
      </c>
      <c r="P224" s="5" t="n">
        <f aca="false">IFERROR(F224/C224,0)</f>
        <v>2.11234567901235</v>
      </c>
      <c r="Q224" s="5" t="n">
        <f aca="false">IFERROR(H224/C224,0)</f>
        <v>369.377037037037</v>
      </c>
      <c r="R224" s="4" t="n">
        <f aca="false">IFERROR(I224/F224,0)</f>
        <v>0.172413793103448</v>
      </c>
      <c r="S224" s="4" t="n">
        <f aca="false">IFERROR(K224/J224,0)</f>
        <v>0.119641299417286</v>
      </c>
      <c r="T224" s="6" t="s">
        <v>23</v>
      </c>
    </row>
    <row r="225" customFormat="false" ht="15" hidden="false" customHeight="false" outlineLevel="0" collapsed="false">
      <c r="A225" s="3" t="s">
        <v>258</v>
      </c>
      <c r="B225" s="3" t="s">
        <v>22</v>
      </c>
      <c r="C225" s="3" t="n">
        <v>2169</v>
      </c>
      <c r="D225" s="3" t="n">
        <v>142</v>
      </c>
      <c r="E225" s="3" t="n">
        <v>547</v>
      </c>
      <c r="F225" s="3" t="n">
        <v>5190</v>
      </c>
      <c r="G225" s="3" t="n">
        <v>9</v>
      </c>
      <c r="H225" s="3" t="n">
        <v>1205580.7</v>
      </c>
      <c r="I225" s="3" t="n">
        <v>1068</v>
      </c>
      <c r="J225" s="3" t="n">
        <v>296503</v>
      </c>
      <c r="K225" s="3" t="n">
        <v>54229</v>
      </c>
      <c r="L225" s="3" t="n">
        <v>565</v>
      </c>
      <c r="M225" s="4" t="n">
        <f aca="false">IFERROR(D225/C225,0)</f>
        <v>0.0654679575841402</v>
      </c>
      <c r="N225" s="4" t="n">
        <f aca="false">IFERROR(E225/C225,0)</f>
        <v>0.252189949285385</v>
      </c>
      <c r="O225" s="5" t="n">
        <f aca="false">IFERROR(F225/MAX(C225-D225,1),0)</f>
        <v>2.56043413912186</v>
      </c>
      <c r="P225" s="5" t="n">
        <f aca="false">IFERROR(F225/C225,0)</f>
        <v>2.39280774550484</v>
      </c>
      <c r="Q225" s="5" t="n">
        <f aca="false">IFERROR(H225/C225,0)</f>
        <v>555.823282618718</v>
      </c>
      <c r="R225" s="4" t="n">
        <f aca="false">IFERROR(I225/F225,0)</f>
        <v>0.205780346820809</v>
      </c>
      <c r="S225" s="4" t="n">
        <f aca="false">IFERROR(K225/J225,0)</f>
        <v>0.182895282678421</v>
      </c>
      <c r="T225" s="6" t="s">
        <v>23</v>
      </c>
    </row>
    <row r="226" customFormat="false" ht="15" hidden="false" customHeight="false" outlineLevel="0" collapsed="false">
      <c r="A226" s="3" t="s">
        <v>259</v>
      </c>
      <c r="B226" s="3" t="s">
        <v>26</v>
      </c>
      <c r="C226" s="3" t="n">
        <v>2526</v>
      </c>
      <c r="D226" s="3" t="n">
        <v>320</v>
      </c>
      <c r="E226" s="3" t="n">
        <v>1066</v>
      </c>
      <c r="F226" s="3" t="n">
        <v>8235</v>
      </c>
      <c r="G226" s="3" t="n">
        <v>14</v>
      </c>
      <c r="H226" s="3" t="n">
        <v>1294242.7</v>
      </c>
      <c r="I226" s="3" t="n">
        <v>1620</v>
      </c>
      <c r="J226" s="3" t="n">
        <v>361887</v>
      </c>
      <c r="K226" s="3" t="n">
        <v>102335</v>
      </c>
      <c r="L226" s="3" t="n">
        <v>881</v>
      </c>
      <c r="M226" s="4" t="n">
        <f aca="false">IFERROR(D226/C226,0)</f>
        <v>0.126682501979414</v>
      </c>
      <c r="N226" s="4" t="n">
        <f aca="false">IFERROR(E226/C226,0)</f>
        <v>0.422011084718923</v>
      </c>
      <c r="O226" s="5" t="n">
        <f aca="false">IFERROR(F226/MAX(C226-D226,1),0)</f>
        <v>3.73300090661831</v>
      </c>
      <c r="P226" s="5" t="n">
        <f aca="false">IFERROR(F226/C226,0)</f>
        <v>3.26009501187648</v>
      </c>
      <c r="Q226" s="5" t="n">
        <f aca="false">IFERROR(H226/C226,0)</f>
        <v>512.368448139351</v>
      </c>
      <c r="R226" s="4" t="n">
        <f aca="false">IFERROR(I226/F226,0)</f>
        <v>0.19672131147541</v>
      </c>
      <c r="S226" s="4" t="n">
        <f aca="false">IFERROR(K226/J226,0)</f>
        <v>0.282781641783209</v>
      </c>
      <c r="T226" s="6" t="s">
        <v>23</v>
      </c>
    </row>
    <row r="227" customFormat="false" ht="15" hidden="false" customHeight="false" outlineLevel="0" collapsed="false">
      <c r="A227" s="3" t="s">
        <v>260</v>
      </c>
      <c r="B227" s="3" t="s">
        <v>26</v>
      </c>
      <c r="C227" s="3" t="n">
        <v>3297</v>
      </c>
      <c r="D227" s="3" t="n">
        <v>640</v>
      </c>
      <c r="E227" s="3" t="n">
        <v>1456</v>
      </c>
      <c r="F227" s="3" t="n">
        <v>11623</v>
      </c>
      <c r="G227" s="3" t="n">
        <v>15</v>
      </c>
      <c r="H227" s="3" t="n">
        <v>2134243.7</v>
      </c>
      <c r="I227" s="3" t="n">
        <v>3105</v>
      </c>
      <c r="J227" s="3" t="n">
        <v>460147</v>
      </c>
      <c r="K227" s="3" t="n">
        <v>94370</v>
      </c>
      <c r="L227" s="3" t="n">
        <v>758</v>
      </c>
      <c r="M227" s="4" t="n">
        <f aca="false">IFERROR(D227/C227,0)</f>
        <v>0.194115862905672</v>
      </c>
      <c r="N227" s="4" t="n">
        <f aca="false">IFERROR(E227/C227,0)</f>
        <v>0.441613588110403</v>
      </c>
      <c r="O227" s="5" t="n">
        <f aca="false">IFERROR(F227/MAX(C227-D227,1),0)</f>
        <v>4.37448249905909</v>
      </c>
      <c r="P227" s="5" t="n">
        <f aca="false">IFERROR(F227/C227,0)</f>
        <v>3.52532605398847</v>
      </c>
      <c r="Q227" s="5" t="n">
        <f aca="false">IFERROR(H227/C227,0)</f>
        <v>647.328996057022</v>
      </c>
      <c r="R227" s="4" t="n">
        <f aca="false">IFERROR(I227/F227,0)</f>
        <v>0.267142734233847</v>
      </c>
      <c r="S227" s="4" t="n">
        <f aca="false">IFERROR(K227/J227,0)</f>
        <v>0.205086635357831</v>
      </c>
      <c r="T227" s="6" t="s">
        <v>23</v>
      </c>
    </row>
    <row r="228" customFormat="false" ht="15" hidden="false" customHeight="false" outlineLevel="0" collapsed="false">
      <c r="A228" s="3" t="s">
        <v>261</v>
      </c>
      <c r="B228" s="3" t="s">
        <v>26</v>
      </c>
      <c r="C228" s="3" t="n">
        <v>652</v>
      </c>
      <c r="D228" s="3" t="n">
        <v>94</v>
      </c>
      <c r="E228" s="3" t="n">
        <v>221</v>
      </c>
      <c r="F228" s="3" t="n">
        <v>1919</v>
      </c>
      <c r="G228" s="3" t="n">
        <v>13</v>
      </c>
      <c r="H228" s="3" t="n">
        <v>292098.2</v>
      </c>
      <c r="I228" s="3" t="n">
        <v>304</v>
      </c>
      <c r="J228" s="3" t="n">
        <v>85404</v>
      </c>
      <c r="K228" s="3" t="n">
        <v>18808</v>
      </c>
      <c r="L228" s="3" t="n">
        <v>147</v>
      </c>
      <c r="M228" s="4" t="n">
        <f aca="false">IFERROR(D228/C228,0)</f>
        <v>0.144171779141104</v>
      </c>
      <c r="N228" s="4" t="n">
        <f aca="false">IFERROR(E228/C228,0)</f>
        <v>0.338957055214724</v>
      </c>
      <c r="O228" s="5" t="n">
        <f aca="false">IFERROR(F228/MAX(C228-D228,1),0)</f>
        <v>3.43906810035842</v>
      </c>
      <c r="P228" s="5" t="n">
        <f aca="false">IFERROR(F228/C228,0)</f>
        <v>2.94325153374233</v>
      </c>
      <c r="Q228" s="5" t="n">
        <f aca="false">IFERROR(H228/C228,0)</f>
        <v>448.003374233129</v>
      </c>
      <c r="R228" s="4" t="n">
        <f aca="false">IFERROR(I228/F228,0)</f>
        <v>0.158415841584158</v>
      </c>
      <c r="S228" s="4" t="n">
        <f aca="false">IFERROR(K228/J228,0)</f>
        <v>0.220223877101775</v>
      </c>
      <c r="T228" s="6" t="s">
        <v>23</v>
      </c>
    </row>
    <row r="229" customFormat="false" ht="15" hidden="false" customHeight="false" outlineLevel="0" collapsed="false">
      <c r="A229" s="3" t="s">
        <v>262</v>
      </c>
      <c r="B229" s="3" t="s">
        <v>29</v>
      </c>
      <c r="C229" s="3" t="n">
        <v>1136</v>
      </c>
      <c r="D229" s="3" t="n">
        <v>76</v>
      </c>
      <c r="E229" s="3" t="n">
        <v>332</v>
      </c>
      <c r="F229" s="3" t="n">
        <v>2399</v>
      </c>
      <c r="G229" s="3" t="n">
        <v>6</v>
      </c>
      <c r="H229" s="3" t="n">
        <v>368643.9</v>
      </c>
      <c r="I229" s="3" t="n">
        <v>424</v>
      </c>
      <c r="J229" s="3" t="n">
        <v>126669</v>
      </c>
      <c r="K229" s="3" t="n">
        <v>13232</v>
      </c>
      <c r="L229" s="3" t="n">
        <v>0</v>
      </c>
      <c r="M229" s="4" t="n">
        <f aca="false">IFERROR(D229/C229,0)</f>
        <v>0.0669014084507042</v>
      </c>
      <c r="N229" s="4" t="n">
        <f aca="false">IFERROR(E229/C229,0)</f>
        <v>0.292253521126761</v>
      </c>
      <c r="O229" s="5" t="n">
        <f aca="false">IFERROR(F229/MAX(C229-D229,1),0)</f>
        <v>2.26320754716981</v>
      </c>
      <c r="P229" s="5" t="n">
        <f aca="false">IFERROR(F229/C229,0)</f>
        <v>2.11179577464789</v>
      </c>
      <c r="Q229" s="5" t="n">
        <f aca="false">IFERROR(H229/C229,0)</f>
        <v>324.510475352113</v>
      </c>
      <c r="R229" s="4" t="n">
        <f aca="false">IFERROR(I229/F229,0)</f>
        <v>0.176740308461859</v>
      </c>
      <c r="S229" s="4" t="n">
        <f aca="false">IFERROR(K229/J229,0)</f>
        <v>0.104461233608855</v>
      </c>
      <c r="T229" s="6" t="s">
        <v>23</v>
      </c>
    </row>
    <row r="230" customFormat="false" ht="15" hidden="false" customHeight="false" outlineLevel="0" collapsed="false">
      <c r="A230" s="3" t="s">
        <v>263</v>
      </c>
      <c r="B230" s="3" t="s">
        <v>26</v>
      </c>
      <c r="C230" s="3" t="n">
        <v>1460</v>
      </c>
      <c r="D230" s="3" t="n">
        <v>232</v>
      </c>
      <c r="E230" s="3" t="n">
        <v>581</v>
      </c>
      <c r="F230" s="3" t="n">
        <v>4796</v>
      </c>
      <c r="G230" s="3" t="n">
        <v>14</v>
      </c>
      <c r="H230" s="3" t="n">
        <v>501963.9</v>
      </c>
      <c r="I230" s="3" t="n">
        <v>1095</v>
      </c>
      <c r="J230" s="3" t="n">
        <v>265565</v>
      </c>
      <c r="K230" s="3" t="n">
        <v>56538</v>
      </c>
      <c r="L230" s="3" t="n">
        <v>218</v>
      </c>
      <c r="M230" s="4" t="n">
        <f aca="false">IFERROR(D230/C230,0)</f>
        <v>0.158904109589041</v>
      </c>
      <c r="N230" s="4" t="n">
        <f aca="false">IFERROR(E230/C230,0)</f>
        <v>0.397945205479452</v>
      </c>
      <c r="O230" s="5" t="n">
        <f aca="false">IFERROR(F230/MAX(C230-D230,1),0)</f>
        <v>3.90553745928339</v>
      </c>
      <c r="P230" s="5" t="n">
        <f aca="false">IFERROR(F230/C230,0)</f>
        <v>3.28493150684932</v>
      </c>
      <c r="Q230" s="5" t="n">
        <f aca="false">IFERROR(H230/C230,0)</f>
        <v>343.810890410959</v>
      </c>
      <c r="R230" s="4" t="n">
        <f aca="false">IFERROR(I230/F230,0)</f>
        <v>0.228315262718932</v>
      </c>
      <c r="S230" s="4" t="n">
        <f aca="false">IFERROR(K230/J230,0)</f>
        <v>0.212897030858735</v>
      </c>
      <c r="T230" s="6" t="s">
        <v>23</v>
      </c>
    </row>
    <row r="231" customFormat="false" ht="15" hidden="false" customHeight="false" outlineLevel="0" collapsed="false">
      <c r="A231" s="3" t="s">
        <v>264</v>
      </c>
      <c r="B231" s="3" t="s">
        <v>22</v>
      </c>
      <c r="C231" s="3" t="n">
        <v>3917</v>
      </c>
      <c r="D231" s="3" t="n">
        <v>389</v>
      </c>
      <c r="E231" s="3" t="n">
        <v>1747</v>
      </c>
      <c r="F231" s="3" t="n">
        <v>8609</v>
      </c>
      <c r="G231" s="3" t="n">
        <v>7</v>
      </c>
      <c r="H231" s="3" t="n">
        <v>1299887.5</v>
      </c>
      <c r="I231" s="3" t="n">
        <v>1740</v>
      </c>
      <c r="J231" s="3" t="n">
        <v>723993</v>
      </c>
      <c r="K231" s="3" t="n">
        <v>85705</v>
      </c>
      <c r="L231" s="3" t="n">
        <v>427</v>
      </c>
      <c r="M231" s="4" t="n">
        <f aca="false">IFERROR(D231/C231,0)</f>
        <v>0.0993106969619607</v>
      </c>
      <c r="N231" s="4" t="n">
        <f aca="false">IFERROR(E231/C231,0)</f>
        <v>0.446004595353587</v>
      </c>
      <c r="O231" s="5" t="n">
        <f aca="false">IFERROR(F231/MAX(C231-D231,1),0)</f>
        <v>2.44019274376417</v>
      </c>
      <c r="P231" s="5" t="n">
        <f aca="false">IFERROR(F231/C231,0)</f>
        <v>2.19785550165943</v>
      </c>
      <c r="Q231" s="5" t="n">
        <f aca="false">IFERROR(H231/C231,0)</f>
        <v>331.857926984938</v>
      </c>
      <c r="R231" s="4" t="n">
        <f aca="false">IFERROR(I231/F231,0)</f>
        <v>0.202114066674411</v>
      </c>
      <c r="S231" s="4" t="n">
        <f aca="false">IFERROR(K231/J231,0)</f>
        <v>0.11837821636397</v>
      </c>
      <c r="T231" s="6" t="s">
        <v>23</v>
      </c>
    </row>
    <row r="232" customFormat="false" ht="15" hidden="false" customHeight="false" outlineLevel="0" collapsed="false">
      <c r="A232" s="3" t="s">
        <v>265</v>
      </c>
      <c r="B232" s="3" t="s">
        <v>29</v>
      </c>
      <c r="C232" s="3" t="n">
        <v>780</v>
      </c>
      <c r="D232" s="3" t="n">
        <v>86</v>
      </c>
      <c r="E232" s="3" t="n">
        <v>225</v>
      </c>
      <c r="F232" s="3" t="n">
        <v>1790</v>
      </c>
      <c r="G232" s="3" t="n">
        <v>9</v>
      </c>
      <c r="H232" s="3" t="n">
        <v>292073.7</v>
      </c>
      <c r="I232" s="3" t="n">
        <v>368</v>
      </c>
      <c r="J232" s="3" t="n">
        <v>79605</v>
      </c>
      <c r="K232" s="3" t="n">
        <v>12963</v>
      </c>
      <c r="L232" s="3" t="n">
        <v>0</v>
      </c>
      <c r="M232" s="4" t="n">
        <f aca="false">IFERROR(D232/C232,0)</f>
        <v>0.11025641025641</v>
      </c>
      <c r="N232" s="4" t="n">
        <f aca="false">IFERROR(E232/C232,0)</f>
        <v>0.288461538461538</v>
      </c>
      <c r="O232" s="5" t="n">
        <f aca="false">IFERROR(F232/MAX(C232-D232,1),0)</f>
        <v>2.5792507204611</v>
      </c>
      <c r="P232" s="5" t="n">
        <f aca="false">IFERROR(F232/C232,0)</f>
        <v>2.29487179487179</v>
      </c>
      <c r="Q232" s="5" t="n">
        <f aca="false">IFERROR(H232/C232,0)</f>
        <v>374.453461538462</v>
      </c>
      <c r="R232" s="4" t="n">
        <f aca="false">IFERROR(I232/F232,0)</f>
        <v>0.205586592178771</v>
      </c>
      <c r="S232" s="4" t="n">
        <f aca="false">IFERROR(K232/J232,0)</f>
        <v>0.162841530054645</v>
      </c>
      <c r="T232" s="6" t="s">
        <v>23</v>
      </c>
    </row>
    <row r="233" customFormat="false" ht="15" hidden="false" customHeight="false" outlineLevel="0" collapsed="false">
      <c r="A233" s="3" t="s">
        <v>266</v>
      </c>
      <c r="B233" s="3" t="s">
        <v>26</v>
      </c>
      <c r="C233" s="3" t="n">
        <v>3990</v>
      </c>
      <c r="D233" s="3" t="n">
        <v>453</v>
      </c>
      <c r="E233" s="3" t="n">
        <v>1346</v>
      </c>
      <c r="F233" s="3" t="n">
        <v>8778</v>
      </c>
      <c r="G233" s="3" t="n">
        <v>9</v>
      </c>
      <c r="H233" s="3" t="n">
        <v>1189854.4</v>
      </c>
      <c r="I233" s="3" t="n">
        <v>2755</v>
      </c>
      <c r="J233" s="3" t="n">
        <v>401616</v>
      </c>
      <c r="K233" s="3" t="n">
        <v>51974</v>
      </c>
      <c r="L233" s="3" t="n">
        <v>1535</v>
      </c>
      <c r="M233" s="4" t="n">
        <f aca="false">IFERROR(D233/C233,0)</f>
        <v>0.113533834586466</v>
      </c>
      <c r="N233" s="4" t="n">
        <f aca="false">IFERROR(E233/C233,0)</f>
        <v>0.33734335839599</v>
      </c>
      <c r="O233" s="5" t="n">
        <f aca="false">IFERROR(F233/MAX(C233-D233,1),0)</f>
        <v>2.48176420695505</v>
      </c>
      <c r="P233" s="5" t="n">
        <f aca="false">IFERROR(F233/C233,0)</f>
        <v>2.2</v>
      </c>
      <c r="Q233" s="5" t="n">
        <f aca="false">IFERROR(H233/C233,0)</f>
        <v>298.209122807018</v>
      </c>
      <c r="R233" s="4" t="n">
        <f aca="false">IFERROR(I233/F233,0)</f>
        <v>0.313852813852814</v>
      </c>
      <c r="S233" s="4" t="n">
        <f aca="false">IFERROR(K233/J233,0)</f>
        <v>0.129412174813752</v>
      </c>
      <c r="T233" s="6" t="s">
        <v>23</v>
      </c>
    </row>
    <row r="234" customFormat="false" ht="15" hidden="false" customHeight="false" outlineLevel="0" collapsed="false">
      <c r="A234" s="3" t="s">
        <v>267</v>
      </c>
      <c r="B234" s="3" t="s">
        <v>29</v>
      </c>
      <c r="C234" s="3" t="n">
        <v>2175</v>
      </c>
      <c r="D234" s="3" t="n">
        <v>175</v>
      </c>
      <c r="E234" s="3" t="n">
        <v>533</v>
      </c>
      <c r="F234" s="3" t="n">
        <v>5223</v>
      </c>
      <c r="G234" s="3" t="n">
        <v>8</v>
      </c>
      <c r="H234" s="3" t="n">
        <v>691566</v>
      </c>
      <c r="I234" s="3" t="n">
        <v>991</v>
      </c>
      <c r="J234" s="3" t="n">
        <v>243757</v>
      </c>
      <c r="K234" s="3" t="n">
        <v>44831</v>
      </c>
      <c r="L234" s="3" t="n">
        <v>0</v>
      </c>
      <c r="M234" s="4" t="n">
        <f aca="false">IFERROR(D234/C234,0)</f>
        <v>0.0804597701149425</v>
      </c>
      <c r="N234" s="4" t="n">
        <f aca="false">IFERROR(E234/C234,0)</f>
        <v>0.245057471264368</v>
      </c>
      <c r="O234" s="5" t="n">
        <f aca="false">IFERROR(F234/MAX(C234-D234,1),0)</f>
        <v>2.6115</v>
      </c>
      <c r="P234" s="5" t="n">
        <f aca="false">IFERROR(F234/C234,0)</f>
        <v>2.40137931034483</v>
      </c>
      <c r="Q234" s="5" t="n">
        <f aca="false">IFERROR(H234/C234,0)</f>
        <v>317.961379310345</v>
      </c>
      <c r="R234" s="4" t="n">
        <f aca="false">IFERROR(I234/F234,0)</f>
        <v>0.189737698640628</v>
      </c>
      <c r="S234" s="4" t="n">
        <f aca="false">IFERROR(K234/J234,0)</f>
        <v>0.183916769569694</v>
      </c>
      <c r="T234" s="6" t="s">
        <v>23</v>
      </c>
    </row>
    <row r="235" customFormat="false" ht="15" hidden="false" customHeight="false" outlineLevel="0" collapsed="false">
      <c r="A235" s="3" t="s">
        <v>268</v>
      </c>
      <c r="B235" s="3" t="s">
        <v>26</v>
      </c>
      <c r="C235" s="3" t="n">
        <v>651</v>
      </c>
      <c r="D235" s="3" t="n">
        <v>48</v>
      </c>
      <c r="E235" s="3" t="n">
        <v>244</v>
      </c>
      <c r="F235" s="3" t="n">
        <v>1278</v>
      </c>
      <c r="G235" s="3" t="n">
        <v>8</v>
      </c>
      <c r="H235" s="3" t="n">
        <v>269854.4</v>
      </c>
      <c r="I235" s="3" t="n">
        <v>263</v>
      </c>
      <c r="J235" s="3" t="n">
        <v>59786</v>
      </c>
      <c r="K235" s="3" t="n">
        <v>11989</v>
      </c>
      <c r="L235" s="3" t="n">
        <v>69</v>
      </c>
      <c r="M235" s="4" t="n">
        <f aca="false">IFERROR(D235/C235,0)</f>
        <v>0.0737327188940092</v>
      </c>
      <c r="N235" s="4" t="n">
        <f aca="false">IFERROR(E235/C235,0)</f>
        <v>0.374807987711214</v>
      </c>
      <c r="O235" s="5" t="n">
        <f aca="false">IFERROR(F235/MAX(C235-D235,1),0)</f>
        <v>2.11940298507463</v>
      </c>
      <c r="P235" s="5" t="n">
        <f aca="false">IFERROR(F235/C235,0)</f>
        <v>1.963133640553</v>
      </c>
      <c r="Q235" s="5" t="n">
        <f aca="false">IFERROR(H235/C235,0)</f>
        <v>414.522887864823</v>
      </c>
      <c r="R235" s="4" t="n">
        <f aca="false">IFERROR(I235/F235,0)</f>
        <v>0.205790297339593</v>
      </c>
      <c r="S235" s="4" t="n">
        <f aca="false">IFERROR(K235/J235,0)</f>
        <v>0.200531897099655</v>
      </c>
      <c r="T235" s="6" t="s">
        <v>23</v>
      </c>
    </row>
    <row r="236" customFormat="false" ht="15" hidden="false" customHeight="false" outlineLevel="0" collapsed="false">
      <c r="A236" s="3" t="s">
        <v>269</v>
      </c>
      <c r="B236" s="3" t="s">
        <v>26</v>
      </c>
      <c r="C236" s="3" t="n">
        <v>199</v>
      </c>
      <c r="D236" s="3" t="n">
        <v>20</v>
      </c>
      <c r="E236" s="3" t="n">
        <v>67</v>
      </c>
      <c r="F236" s="3" t="n">
        <v>512</v>
      </c>
      <c r="G236" s="3" t="n">
        <v>12</v>
      </c>
      <c r="H236" s="3" t="n">
        <v>79926.7</v>
      </c>
      <c r="I236" s="3" t="n">
        <v>124</v>
      </c>
      <c r="J236" s="3" t="n">
        <v>33773</v>
      </c>
      <c r="K236" s="3" t="n">
        <v>5416</v>
      </c>
      <c r="L236" s="3" t="n">
        <v>38</v>
      </c>
      <c r="M236" s="4" t="n">
        <f aca="false">IFERROR(D236/C236,0)</f>
        <v>0.100502512562814</v>
      </c>
      <c r="N236" s="4" t="n">
        <f aca="false">IFERROR(E236/C236,0)</f>
        <v>0.336683417085427</v>
      </c>
      <c r="O236" s="5" t="n">
        <f aca="false">IFERROR(F236/MAX(C236-D236,1),0)</f>
        <v>2.86033519553073</v>
      </c>
      <c r="P236" s="5" t="n">
        <f aca="false">IFERROR(F236/C236,0)</f>
        <v>2.57286432160804</v>
      </c>
      <c r="Q236" s="5" t="n">
        <f aca="false">IFERROR(H236/C236,0)</f>
        <v>401.641708542714</v>
      </c>
      <c r="R236" s="4" t="n">
        <f aca="false">IFERROR(I236/F236,0)</f>
        <v>0.2421875</v>
      </c>
      <c r="S236" s="4" t="n">
        <f aca="false">IFERROR(K236/J236,0)</f>
        <v>0.16036478844047</v>
      </c>
      <c r="T236" s="6" t="s">
        <v>23</v>
      </c>
    </row>
    <row r="237" customFormat="false" ht="15" hidden="false" customHeight="false" outlineLevel="0" collapsed="false">
      <c r="A237" s="3" t="s">
        <v>270</v>
      </c>
      <c r="B237" s="3" t="s">
        <v>26</v>
      </c>
      <c r="C237" s="3" t="n">
        <v>2638</v>
      </c>
      <c r="D237" s="3" t="n">
        <v>196</v>
      </c>
      <c r="E237" s="3" t="n">
        <v>701</v>
      </c>
      <c r="F237" s="3" t="n">
        <v>3669</v>
      </c>
      <c r="G237" s="3" t="n">
        <v>5</v>
      </c>
      <c r="H237" s="3" t="n">
        <v>1057162.9</v>
      </c>
      <c r="I237" s="3" t="n">
        <v>712</v>
      </c>
      <c r="J237" s="3" t="n">
        <v>275248</v>
      </c>
      <c r="K237" s="3" t="n">
        <v>52609</v>
      </c>
      <c r="L237" s="3" t="n">
        <v>439</v>
      </c>
      <c r="M237" s="4" t="n">
        <f aca="false">IFERROR(D237/C237,0)</f>
        <v>0.0742987111448067</v>
      </c>
      <c r="N237" s="4" t="n">
        <f aca="false">IFERROR(E237/C237,0)</f>
        <v>0.265731614859742</v>
      </c>
      <c r="O237" s="5" t="n">
        <f aca="false">IFERROR(F237/MAX(C237-D237,1),0)</f>
        <v>1.502457002457</v>
      </c>
      <c r="P237" s="5" t="n">
        <f aca="false">IFERROR(F237/C237,0)</f>
        <v>1.39082638362396</v>
      </c>
      <c r="Q237" s="5" t="n">
        <f aca="false">IFERROR(H237/C237,0)</f>
        <v>400.744086429113</v>
      </c>
      <c r="R237" s="4" t="n">
        <f aca="false">IFERROR(I237/F237,0)</f>
        <v>0.194058326519488</v>
      </c>
      <c r="S237" s="4" t="n">
        <f aca="false">IFERROR(K237/J237,0)</f>
        <v>0.191133087252223</v>
      </c>
      <c r="T237" s="6" t="s">
        <v>23</v>
      </c>
    </row>
    <row r="238" customFormat="false" ht="15" hidden="false" customHeight="false" outlineLevel="0" collapsed="false">
      <c r="A238" s="3" t="s">
        <v>271</v>
      </c>
      <c r="B238" s="3" t="s">
        <v>26</v>
      </c>
      <c r="C238" s="3" t="n">
        <v>1198</v>
      </c>
      <c r="D238" s="3" t="n">
        <v>114</v>
      </c>
      <c r="E238" s="3" t="n">
        <v>483</v>
      </c>
      <c r="F238" s="3" t="n">
        <v>4270</v>
      </c>
      <c r="G238" s="3" t="n">
        <v>11</v>
      </c>
      <c r="H238" s="3" t="n">
        <v>576950.6</v>
      </c>
      <c r="I238" s="3" t="n">
        <v>904</v>
      </c>
      <c r="J238" s="3" t="n">
        <v>157651</v>
      </c>
      <c r="K238" s="3" t="n">
        <v>40075</v>
      </c>
      <c r="L238" s="3" t="n">
        <v>424</v>
      </c>
      <c r="M238" s="4" t="n">
        <f aca="false">IFERROR(D238/C238,0)</f>
        <v>0.0951585976627713</v>
      </c>
      <c r="N238" s="4" t="n">
        <f aca="false">IFERROR(E238/C238,0)</f>
        <v>0.403171953255426</v>
      </c>
      <c r="O238" s="5" t="n">
        <f aca="false">IFERROR(F238/MAX(C238-D238,1),0)</f>
        <v>3.93911439114391</v>
      </c>
      <c r="P238" s="5" t="n">
        <f aca="false">IFERROR(F238/C238,0)</f>
        <v>3.56427378964942</v>
      </c>
      <c r="Q238" s="5" t="n">
        <f aca="false">IFERROR(H238/C238,0)</f>
        <v>481.594824707846</v>
      </c>
      <c r="R238" s="4" t="n">
        <f aca="false">IFERROR(I238/F238,0)</f>
        <v>0.211709601873536</v>
      </c>
      <c r="S238" s="4" t="n">
        <f aca="false">IFERROR(K238/J238,0)</f>
        <v>0.254200734533876</v>
      </c>
      <c r="T238" s="6" t="s">
        <v>23</v>
      </c>
    </row>
    <row r="239" customFormat="false" ht="15" hidden="false" customHeight="false" outlineLevel="0" collapsed="false">
      <c r="A239" s="9" t="s">
        <v>272</v>
      </c>
      <c r="B239" s="9" t="s">
        <v>29</v>
      </c>
      <c r="C239" s="9" t="n">
        <v>472</v>
      </c>
      <c r="D239" s="9" t="n">
        <v>115</v>
      </c>
      <c r="E239" s="9" t="n">
        <v>220</v>
      </c>
      <c r="F239" s="9" t="n">
        <v>3238</v>
      </c>
      <c r="G239" s="9" t="n">
        <v>20</v>
      </c>
      <c r="H239" s="9" t="n">
        <v>339648.3</v>
      </c>
      <c r="I239" s="9" t="n">
        <v>2599</v>
      </c>
      <c r="J239" s="9" t="n">
        <v>34450</v>
      </c>
      <c r="K239" s="9" t="n">
        <v>14496</v>
      </c>
      <c r="L239" s="9" t="n">
        <v>0</v>
      </c>
      <c r="M239" s="10" t="n">
        <f aca="false">IFERROR(D239/C239,0)</f>
        <v>0.24364406779661</v>
      </c>
      <c r="N239" s="10" t="n">
        <f aca="false">IFERROR(E239/C239,0)</f>
        <v>0.466101694915254</v>
      </c>
      <c r="O239" s="11" t="n">
        <f aca="false">IFERROR(F239/MAX(C239-D239,1),0)</f>
        <v>9.07002801120448</v>
      </c>
      <c r="P239" s="11" t="n">
        <f aca="false">IFERROR(F239/C239,0)</f>
        <v>6.86016949152542</v>
      </c>
      <c r="Q239" s="11" t="n">
        <f aca="false">IFERROR(H239/C239,0)</f>
        <v>719.593855932203</v>
      </c>
      <c r="R239" s="10" t="n">
        <f aca="false">IFERROR(I239/F239,0)</f>
        <v>0.802655960469426</v>
      </c>
      <c r="S239" s="10" t="n">
        <f aca="false">IFERROR(K239/J239,0)</f>
        <v>0.42078374455733</v>
      </c>
      <c r="T239" s="12" t="s">
        <v>30</v>
      </c>
    </row>
    <row r="240" customFormat="false" ht="15" hidden="false" customHeight="false" outlineLevel="0" collapsed="false">
      <c r="A240" s="9" t="s">
        <v>273</v>
      </c>
      <c r="B240" s="9" t="s">
        <v>22</v>
      </c>
      <c r="C240" s="9" t="n">
        <v>1985</v>
      </c>
      <c r="D240" s="9" t="n">
        <v>338</v>
      </c>
      <c r="E240" s="9" t="n">
        <v>727</v>
      </c>
      <c r="F240" s="9" t="n">
        <v>11355</v>
      </c>
      <c r="G240" s="9" t="n">
        <v>19</v>
      </c>
      <c r="H240" s="9" t="n">
        <v>1313560.5</v>
      </c>
      <c r="I240" s="9" t="n">
        <v>8066</v>
      </c>
      <c r="J240" s="9" t="n">
        <v>318953</v>
      </c>
      <c r="K240" s="9" t="n">
        <v>200500</v>
      </c>
      <c r="L240" s="9" t="n">
        <v>177</v>
      </c>
      <c r="M240" s="10" t="n">
        <f aca="false">IFERROR(D240/C240,0)</f>
        <v>0.170277078085642</v>
      </c>
      <c r="N240" s="10" t="n">
        <f aca="false">IFERROR(E240/C240,0)</f>
        <v>0.36624685138539</v>
      </c>
      <c r="O240" s="11" t="n">
        <f aca="false">IFERROR(F240/MAX(C240-D240,1),0)</f>
        <v>6.89435336976321</v>
      </c>
      <c r="P240" s="11" t="n">
        <f aca="false">IFERROR(F240/C240,0)</f>
        <v>5.72040302267003</v>
      </c>
      <c r="Q240" s="11" t="n">
        <f aca="false">IFERROR(H240/C240,0)</f>
        <v>661.743324937028</v>
      </c>
      <c r="R240" s="10" t="n">
        <f aca="false">IFERROR(I240/F240,0)</f>
        <v>0.710347864376926</v>
      </c>
      <c r="S240" s="10" t="n">
        <f aca="false">IFERROR(K240/J240,0)</f>
        <v>0.628619263653266</v>
      </c>
      <c r="T240" s="12" t="s">
        <v>30</v>
      </c>
    </row>
    <row r="241" customFormat="false" ht="15" hidden="false" customHeight="false" outlineLevel="0" collapsed="false">
      <c r="A241" s="3" t="s">
        <v>274</v>
      </c>
      <c r="B241" s="3" t="s">
        <v>22</v>
      </c>
      <c r="C241" s="3" t="n">
        <v>2867</v>
      </c>
      <c r="D241" s="3" t="n">
        <v>360</v>
      </c>
      <c r="E241" s="3" t="n">
        <v>798</v>
      </c>
      <c r="F241" s="3" t="n">
        <v>5953</v>
      </c>
      <c r="G241" s="3" t="n">
        <v>10</v>
      </c>
      <c r="H241" s="3" t="n">
        <v>1107309.6</v>
      </c>
      <c r="I241" s="3" t="n">
        <v>1426</v>
      </c>
      <c r="J241" s="3" t="n">
        <v>534860</v>
      </c>
      <c r="K241" s="3" t="n">
        <v>55185</v>
      </c>
      <c r="L241" s="3" t="n">
        <v>924</v>
      </c>
      <c r="M241" s="4" t="n">
        <f aca="false">IFERROR(D241/C241,0)</f>
        <v>0.125566794558772</v>
      </c>
      <c r="N241" s="4" t="n">
        <f aca="false">IFERROR(E241/C241,0)</f>
        <v>0.278339727938612</v>
      </c>
      <c r="O241" s="5" t="n">
        <f aca="false">IFERROR(F241/MAX(C241-D241,1),0)</f>
        <v>2.37455125648185</v>
      </c>
      <c r="P241" s="5" t="n">
        <f aca="false">IFERROR(F241/C241,0)</f>
        <v>2.07638646668992</v>
      </c>
      <c r="Q241" s="5" t="n">
        <f aca="false">IFERROR(H241/C241,0)</f>
        <v>386.225880711545</v>
      </c>
      <c r="R241" s="4" t="n">
        <f aca="false">IFERROR(I241/F241,0)</f>
        <v>0.239543087518898</v>
      </c>
      <c r="S241" s="4" t="n">
        <f aca="false">IFERROR(K241/J241,0)</f>
        <v>0.103176532176644</v>
      </c>
      <c r="T241" s="6" t="s">
        <v>23</v>
      </c>
    </row>
    <row r="242" customFormat="false" ht="15" hidden="false" customHeight="false" outlineLevel="0" collapsed="false">
      <c r="A242" s="3" t="s">
        <v>275</v>
      </c>
      <c r="B242" s="3" t="s">
        <v>22</v>
      </c>
      <c r="C242" s="3" t="n">
        <v>3774</v>
      </c>
      <c r="D242" s="3" t="n">
        <v>363</v>
      </c>
      <c r="E242" s="3" t="n">
        <v>1033</v>
      </c>
      <c r="F242" s="3" t="n">
        <v>11141</v>
      </c>
      <c r="G242" s="3" t="n">
        <v>10</v>
      </c>
      <c r="H242" s="3" t="n">
        <v>1904757.5</v>
      </c>
      <c r="I242" s="3" t="n">
        <v>2461</v>
      </c>
      <c r="J242" s="3" t="n">
        <v>281069</v>
      </c>
      <c r="K242" s="3" t="n">
        <v>37511</v>
      </c>
      <c r="L242" s="3" t="n">
        <v>1113</v>
      </c>
      <c r="M242" s="4" t="n">
        <f aca="false">IFERROR(D242/C242,0)</f>
        <v>0.0961844197138315</v>
      </c>
      <c r="N242" s="4" t="n">
        <f aca="false">IFERROR(E242/C242,0)</f>
        <v>0.27371489136195</v>
      </c>
      <c r="O242" s="5" t="n">
        <f aca="false">IFERROR(F242/MAX(C242-D242,1),0)</f>
        <v>3.2661975960129</v>
      </c>
      <c r="P242" s="5" t="n">
        <f aca="false">IFERROR(F242/C242,0)</f>
        <v>2.95204027556969</v>
      </c>
      <c r="Q242" s="5" t="n">
        <f aca="false">IFERROR(H242/C242,0)</f>
        <v>504.705219925808</v>
      </c>
      <c r="R242" s="4" t="n">
        <f aca="false">IFERROR(I242/F242,0)</f>
        <v>0.220895790324028</v>
      </c>
      <c r="S242" s="4" t="n">
        <f aca="false">IFERROR(K242/J242,0)</f>
        <v>0.133458332295628</v>
      </c>
      <c r="T242" s="6" t="s">
        <v>23</v>
      </c>
    </row>
    <row r="243" customFormat="false" ht="15" hidden="false" customHeight="false" outlineLevel="0" collapsed="false">
      <c r="A243" s="3" t="s">
        <v>276</v>
      </c>
      <c r="B243" s="3" t="s">
        <v>26</v>
      </c>
      <c r="C243" s="3" t="n">
        <v>1702</v>
      </c>
      <c r="D243" s="3" t="n">
        <v>173</v>
      </c>
      <c r="E243" s="3" t="n">
        <v>538</v>
      </c>
      <c r="F243" s="3" t="n">
        <v>3244</v>
      </c>
      <c r="G243" s="3" t="n">
        <v>9</v>
      </c>
      <c r="H243" s="3" t="n">
        <v>526036.3</v>
      </c>
      <c r="I243" s="3" t="n">
        <v>605</v>
      </c>
      <c r="J243" s="3" t="n">
        <v>209876</v>
      </c>
      <c r="K243" s="3" t="n">
        <v>39037</v>
      </c>
      <c r="L243" s="3" t="n">
        <v>253</v>
      </c>
      <c r="M243" s="4" t="n">
        <f aca="false">IFERROR(D243/C243,0)</f>
        <v>0.101645123384254</v>
      </c>
      <c r="N243" s="4" t="n">
        <f aca="false">IFERROR(E243/C243,0)</f>
        <v>0.316098707403055</v>
      </c>
      <c r="O243" s="5" t="n">
        <f aca="false">IFERROR(F243/MAX(C243-D243,1),0)</f>
        <v>2.12164813603663</v>
      </c>
      <c r="P243" s="5" t="n">
        <f aca="false">IFERROR(F243/C243,0)</f>
        <v>1.90599294947121</v>
      </c>
      <c r="Q243" s="5" t="n">
        <f aca="false">IFERROR(H243/C243,0)</f>
        <v>309.069506462985</v>
      </c>
      <c r="R243" s="4" t="n">
        <f aca="false">IFERROR(I243/F243,0)</f>
        <v>0.186498150431566</v>
      </c>
      <c r="S243" s="4" t="n">
        <f aca="false">IFERROR(K243/J243,0)</f>
        <v>0.186000304941966</v>
      </c>
      <c r="T243" s="6" t="s">
        <v>23</v>
      </c>
    </row>
    <row r="244" customFormat="false" ht="15" hidden="false" customHeight="false" outlineLevel="0" collapsed="false">
      <c r="A244" s="9" t="s">
        <v>277</v>
      </c>
      <c r="B244" s="9" t="s">
        <v>22</v>
      </c>
      <c r="C244" s="9" t="n">
        <v>2180</v>
      </c>
      <c r="D244" s="9" t="n">
        <v>137</v>
      </c>
      <c r="E244" s="9" t="n">
        <v>799</v>
      </c>
      <c r="F244" s="9" t="n">
        <v>18725</v>
      </c>
      <c r="G244" s="9" t="n">
        <v>25</v>
      </c>
      <c r="H244" s="9" t="n">
        <v>1435519.1</v>
      </c>
      <c r="I244" s="9" t="n">
        <v>10961</v>
      </c>
      <c r="J244" s="9" t="n">
        <v>223032</v>
      </c>
      <c r="K244" s="9" t="n">
        <v>146662</v>
      </c>
      <c r="L244" s="9" t="n">
        <v>598</v>
      </c>
      <c r="M244" s="10" t="n">
        <f aca="false">IFERROR(D244/C244,0)</f>
        <v>0.0628440366972477</v>
      </c>
      <c r="N244" s="10" t="n">
        <f aca="false">IFERROR(E244/C244,0)</f>
        <v>0.36651376146789</v>
      </c>
      <c r="O244" s="11" t="n">
        <f aca="false">IFERROR(F244/MAX(C244-D244,1),0)</f>
        <v>9.16544297601566</v>
      </c>
      <c r="P244" s="11" t="n">
        <f aca="false">IFERROR(F244/C244,0)</f>
        <v>8.5894495412844</v>
      </c>
      <c r="Q244" s="11" t="n">
        <f aca="false">IFERROR(H244/C244,0)</f>
        <v>658.495</v>
      </c>
      <c r="R244" s="10" t="n">
        <f aca="false">IFERROR(I244/F244,0)</f>
        <v>0.585367156208278</v>
      </c>
      <c r="S244" s="10" t="n">
        <f aca="false">IFERROR(K244/J244,0)</f>
        <v>0.65758276839198</v>
      </c>
      <c r="T244" s="12" t="s">
        <v>30</v>
      </c>
    </row>
    <row r="245" customFormat="false" ht="15" hidden="false" customHeight="false" outlineLevel="0" collapsed="false">
      <c r="A245" s="3" t="s">
        <v>278</v>
      </c>
      <c r="B245" s="3" t="s">
        <v>22</v>
      </c>
      <c r="C245" s="3" t="n">
        <v>1723</v>
      </c>
      <c r="D245" s="3" t="n">
        <v>327</v>
      </c>
      <c r="E245" s="3" t="n">
        <v>707</v>
      </c>
      <c r="F245" s="3" t="n">
        <v>6722</v>
      </c>
      <c r="G245" s="3" t="n">
        <v>15</v>
      </c>
      <c r="H245" s="3" t="n">
        <v>820157.1</v>
      </c>
      <c r="I245" s="3" t="n">
        <v>1524</v>
      </c>
      <c r="J245" s="3" t="n">
        <v>324075</v>
      </c>
      <c r="K245" s="3" t="n">
        <v>69412</v>
      </c>
      <c r="L245" s="3" t="n">
        <v>805</v>
      </c>
      <c r="M245" s="4" t="n">
        <f aca="false">IFERROR(D245/C245,0)</f>
        <v>0.189785258270459</v>
      </c>
      <c r="N245" s="4" t="n">
        <f aca="false">IFERROR(E245/C245,0)</f>
        <v>0.410330818340105</v>
      </c>
      <c r="O245" s="5" t="n">
        <f aca="false">IFERROR(F245/MAX(C245-D245,1),0)</f>
        <v>4.81518624641834</v>
      </c>
      <c r="P245" s="5" t="n">
        <f aca="false">IFERROR(F245/C245,0)</f>
        <v>3.90133488102147</v>
      </c>
      <c r="Q245" s="5" t="n">
        <f aca="false">IFERROR(H245/C245,0)</f>
        <v>476.005281485781</v>
      </c>
      <c r="R245" s="4" t="n">
        <f aca="false">IFERROR(I245/F245,0)</f>
        <v>0.226718238619459</v>
      </c>
      <c r="S245" s="4" t="n">
        <f aca="false">IFERROR(K245/J245,0)</f>
        <v>0.214184988042891</v>
      </c>
      <c r="T245" s="6" t="s">
        <v>23</v>
      </c>
    </row>
    <row r="246" customFormat="false" ht="15" hidden="false" customHeight="false" outlineLevel="0" collapsed="false">
      <c r="A246" s="3" t="s">
        <v>279</v>
      </c>
      <c r="B246" s="3" t="s">
        <v>29</v>
      </c>
      <c r="C246" s="3" t="n">
        <v>2156</v>
      </c>
      <c r="D246" s="3" t="n">
        <v>173</v>
      </c>
      <c r="E246" s="3" t="n">
        <v>725</v>
      </c>
      <c r="F246" s="3" t="n">
        <v>4937</v>
      </c>
      <c r="G246" s="3" t="n">
        <v>9</v>
      </c>
      <c r="H246" s="3" t="n">
        <v>520365.2</v>
      </c>
      <c r="I246" s="3" t="n">
        <v>828</v>
      </c>
      <c r="J246" s="3" t="n">
        <v>408319</v>
      </c>
      <c r="K246" s="3" t="n">
        <v>99004</v>
      </c>
      <c r="L246" s="3" t="n">
        <v>0</v>
      </c>
      <c r="M246" s="4" t="n">
        <f aca="false">IFERROR(D246/C246,0)</f>
        <v>0.0802411873840445</v>
      </c>
      <c r="N246" s="4" t="n">
        <f aca="false">IFERROR(E246/C246,0)</f>
        <v>0.336270871985158</v>
      </c>
      <c r="O246" s="5" t="n">
        <f aca="false">IFERROR(F246/MAX(C246-D246,1),0)</f>
        <v>2.48966212808875</v>
      </c>
      <c r="P246" s="5" t="n">
        <f aca="false">IFERROR(F246/C246,0)</f>
        <v>2.28988868274583</v>
      </c>
      <c r="Q246" s="5" t="n">
        <f aca="false">IFERROR(H246/C246,0)</f>
        <v>241.356771799629</v>
      </c>
      <c r="R246" s="4" t="n">
        <f aca="false">IFERROR(I246/F246,0)</f>
        <v>0.167713186145432</v>
      </c>
      <c r="S246" s="4" t="n">
        <f aca="false">IFERROR(K246/J246,0)</f>
        <v>0.242467286606795</v>
      </c>
      <c r="T246" s="6" t="s">
        <v>23</v>
      </c>
    </row>
    <row r="247" customFormat="false" ht="15" hidden="false" customHeight="false" outlineLevel="0" collapsed="false">
      <c r="A247" s="3" t="s">
        <v>280</v>
      </c>
      <c r="B247" s="3" t="s">
        <v>22</v>
      </c>
      <c r="C247" s="3" t="n">
        <v>2355</v>
      </c>
      <c r="D247" s="3" t="n">
        <v>264</v>
      </c>
      <c r="E247" s="3" t="n">
        <v>1052</v>
      </c>
      <c r="F247" s="3" t="n">
        <v>7213</v>
      </c>
      <c r="G247" s="3" t="n">
        <v>11</v>
      </c>
      <c r="H247" s="3" t="n">
        <v>1654187.3</v>
      </c>
      <c r="I247" s="3" t="n">
        <v>1191</v>
      </c>
      <c r="J247" s="3" t="n">
        <v>433778</v>
      </c>
      <c r="K247" s="3" t="n">
        <v>93399</v>
      </c>
      <c r="L247" s="3" t="n">
        <v>707</v>
      </c>
      <c r="M247" s="4" t="n">
        <f aca="false">IFERROR(D247/C247,0)</f>
        <v>0.112101910828025</v>
      </c>
      <c r="N247" s="4" t="n">
        <f aca="false">IFERROR(E247/C247,0)</f>
        <v>0.446709129511677</v>
      </c>
      <c r="O247" s="5" t="n">
        <f aca="false">IFERROR(F247/MAX(C247-D247,1),0)</f>
        <v>3.44954567192731</v>
      </c>
      <c r="P247" s="5" t="n">
        <f aca="false">IFERROR(F247/C247,0)</f>
        <v>3.06284501061571</v>
      </c>
      <c r="Q247" s="5" t="n">
        <f aca="false">IFERROR(H247/C247,0)</f>
        <v>702.414989384289</v>
      </c>
      <c r="R247" s="4" t="n">
        <f aca="false">IFERROR(I247/F247,0)</f>
        <v>0.165118535976709</v>
      </c>
      <c r="S247" s="4" t="n">
        <f aca="false">IFERROR(K247/J247,0)</f>
        <v>0.215315207318029</v>
      </c>
      <c r="T247" s="6" t="s">
        <v>23</v>
      </c>
    </row>
    <row r="248" customFormat="false" ht="15" hidden="false" customHeight="false" outlineLevel="0" collapsed="false">
      <c r="A248" s="3" t="s">
        <v>281</v>
      </c>
      <c r="B248" s="3" t="s">
        <v>29</v>
      </c>
      <c r="C248" s="3" t="n">
        <v>2330</v>
      </c>
      <c r="D248" s="3" t="n">
        <v>341</v>
      </c>
      <c r="E248" s="3" t="n">
        <v>784</v>
      </c>
      <c r="F248" s="3" t="n">
        <v>7369</v>
      </c>
      <c r="G248" s="3" t="n">
        <v>13</v>
      </c>
      <c r="H248" s="3" t="n">
        <v>1304779.5</v>
      </c>
      <c r="I248" s="3" t="n">
        <v>1172</v>
      </c>
      <c r="J248" s="3" t="n">
        <v>299558</v>
      </c>
      <c r="K248" s="3" t="n">
        <v>61623</v>
      </c>
      <c r="L248" s="3" t="n">
        <v>0</v>
      </c>
      <c r="M248" s="4" t="n">
        <f aca="false">IFERROR(D248/C248,0)</f>
        <v>0.146351931330472</v>
      </c>
      <c r="N248" s="4" t="n">
        <f aca="false">IFERROR(E248/C248,0)</f>
        <v>0.336480686695279</v>
      </c>
      <c r="O248" s="5" t="n">
        <f aca="false">IFERROR(F248/MAX(C248-D248,1),0)</f>
        <v>3.70487682252388</v>
      </c>
      <c r="P248" s="5" t="n">
        <f aca="false">IFERROR(F248/C248,0)</f>
        <v>3.16266094420601</v>
      </c>
      <c r="Q248" s="5" t="n">
        <f aca="false">IFERROR(H248/C248,0)</f>
        <v>559.991201716738</v>
      </c>
      <c r="R248" s="4" t="n">
        <f aca="false">IFERROR(I248/F248,0)</f>
        <v>0.159044646492061</v>
      </c>
      <c r="S248" s="4" t="n">
        <f aca="false">IFERROR(K248/J248,0)</f>
        <v>0.205713083943677</v>
      </c>
      <c r="T248" s="6" t="s">
        <v>23</v>
      </c>
    </row>
    <row r="249" customFormat="false" ht="15" hidden="false" customHeight="false" outlineLevel="0" collapsed="false">
      <c r="A249" s="3" t="s">
        <v>282</v>
      </c>
      <c r="B249" s="3" t="s">
        <v>29</v>
      </c>
      <c r="C249" s="3" t="n">
        <v>1107</v>
      </c>
      <c r="D249" s="3" t="n">
        <v>180</v>
      </c>
      <c r="E249" s="3" t="n">
        <v>478</v>
      </c>
      <c r="F249" s="3" t="n">
        <v>5196</v>
      </c>
      <c r="G249" s="3" t="n">
        <v>18</v>
      </c>
      <c r="H249" s="3" t="n">
        <v>452412</v>
      </c>
      <c r="I249" s="3" t="n">
        <v>1284</v>
      </c>
      <c r="J249" s="3" t="n">
        <v>85454</v>
      </c>
      <c r="K249" s="3" t="n">
        <v>25636</v>
      </c>
      <c r="L249" s="3" t="n">
        <v>0</v>
      </c>
      <c r="M249" s="4" t="n">
        <f aca="false">IFERROR(D249/C249,0)</f>
        <v>0.16260162601626</v>
      </c>
      <c r="N249" s="4" t="n">
        <f aca="false">IFERROR(E249/C249,0)</f>
        <v>0.431797651309846</v>
      </c>
      <c r="O249" s="5" t="n">
        <f aca="false">IFERROR(F249/MAX(C249-D249,1),0)</f>
        <v>5.60517799352751</v>
      </c>
      <c r="P249" s="5" t="n">
        <f aca="false">IFERROR(F249/C249,0)</f>
        <v>4.69376693766938</v>
      </c>
      <c r="Q249" s="5" t="n">
        <f aca="false">IFERROR(H249/C249,0)</f>
        <v>408.682926829268</v>
      </c>
      <c r="R249" s="4" t="n">
        <f aca="false">IFERROR(I249/F249,0)</f>
        <v>0.247113163972286</v>
      </c>
      <c r="S249" s="4" t="n">
        <f aca="false">IFERROR(K249/J249,0)</f>
        <v>0.299997659559529</v>
      </c>
      <c r="T249" s="6" t="s">
        <v>23</v>
      </c>
    </row>
    <row r="250" customFormat="false" ht="15" hidden="false" customHeight="false" outlineLevel="0" collapsed="false">
      <c r="A250" s="3" t="s">
        <v>283</v>
      </c>
      <c r="B250" s="3" t="s">
        <v>29</v>
      </c>
      <c r="C250" s="3" t="n">
        <v>1757</v>
      </c>
      <c r="D250" s="3" t="n">
        <v>104</v>
      </c>
      <c r="E250" s="3" t="n">
        <v>389</v>
      </c>
      <c r="F250" s="3" t="n">
        <v>1609</v>
      </c>
      <c r="G250" s="3" t="n">
        <v>5</v>
      </c>
      <c r="H250" s="3" t="n">
        <v>545333.6</v>
      </c>
      <c r="I250" s="3" t="n">
        <v>274</v>
      </c>
      <c r="J250" s="3" t="n">
        <v>157259</v>
      </c>
      <c r="K250" s="3" t="n">
        <v>25424</v>
      </c>
      <c r="L250" s="3" t="n">
        <v>0</v>
      </c>
      <c r="M250" s="4" t="n">
        <f aca="false">IFERROR(D250/C250,0)</f>
        <v>0.0591918042117245</v>
      </c>
      <c r="N250" s="4" t="n">
        <f aca="false">IFERROR(E250/C250,0)</f>
        <v>0.221400113830393</v>
      </c>
      <c r="O250" s="5" t="n">
        <f aca="false">IFERROR(F250/MAX(C250-D250,1),0)</f>
        <v>0.973381730187538</v>
      </c>
      <c r="P250" s="5" t="n">
        <f aca="false">IFERROR(F250/C250,0)</f>
        <v>0.915765509391007</v>
      </c>
      <c r="Q250" s="5" t="n">
        <f aca="false">IFERROR(H250/C250,0)</f>
        <v>310.377689243028</v>
      </c>
      <c r="R250" s="4" t="n">
        <f aca="false">IFERROR(I250/F250,0)</f>
        <v>0.170292106898695</v>
      </c>
      <c r="S250" s="4" t="n">
        <f aca="false">IFERROR(K250/J250,0)</f>
        <v>0.161669602375699</v>
      </c>
      <c r="T250" s="6" t="s">
        <v>23</v>
      </c>
    </row>
    <row r="251" customFormat="false" ht="15" hidden="false" customHeight="false" outlineLevel="0" collapsed="false">
      <c r="A251" s="9" t="s">
        <v>284</v>
      </c>
      <c r="B251" s="9" t="s">
        <v>26</v>
      </c>
      <c r="C251" s="9" t="n">
        <v>2157</v>
      </c>
      <c r="D251" s="9" t="n">
        <v>564</v>
      </c>
      <c r="E251" s="9" t="n">
        <v>1207</v>
      </c>
      <c r="F251" s="9" t="n">
        <v>19156</v>
      </c>
      <c r="G251" s="9" t="n">
        <v>22</v>
      </c>
      <c r="H251" s="9" t="n">
        <v>1706395.4</v>
      </c>
      <c r="I251" s="9" t="n">
        <v>16490</v>
      </c>
      <c r="J251" s="9" t="n">
        <v>200216</v>
      </c>
      <c r="K251" s="9" t="n">
        <v>190855</v>
      </c>
      <c r="L251" s="9" t="n">
        <v>811</v>
      </c>
      <c r="M251" s="10" t="n">
        <f aca="false">IFERROR(D251/C251,0)</f>
        <v>0.261474269819193</v>
      </c>
      <c r="N251" s="10" t="n">
        <f aca="false">IFERROR(E251/C251,0)</f>
        <v>0.559573481687529</v>
      </c>
      <c r="O251" s="11" t="n">
        <f aca="false">IFERROR(F251/MAX(C251-D251,1),0)</f>
        <v>12.0251098556183</v>
      </c>
      <c r="P251" s="11" t="n">
        <f aca="false">IFERROR(F251/C251,0)</f>
        <v>8.88085303662494</v>
      </c>
      <c r="Q251" s="11" t="n">
        <f aca="false">IFERROR(H251/C251,0)</f>
        <v>791.096615669912</v>
      </c>
      <c r="R251" s="10" t="n">
        <f aca="false">IFERROR(I251/F251,0)</f>
        <v>0.860826894967634</v>
      </c>
      <c r="S251" s="10" t="n">
        <f aca="false">IFERROR(K251/J251,0)</f>
        <v>0.953245494865545</v>
      </c>
      <c r="T251" s="12" t="s">
        <v>30</v>
      </c>
    </row>
    <row r="252" customFormat="false" ht="15" hidden="false" customHeight="false" outlineLevel="0" collapsed="false">
      <c r="A252" s="3" t="s">
        <v>285</v>
      </c>
      <c r="B252" s="3" t="s">
        <v>26</v>
      </c>
      <c r="C252" s="3" t="n">
        <v>1967</v>
      </c>
      <c r="D252" s="3" t="n">
        <v>206</v>
      </c>
      <c r="E252" s="3" t="n">
        <v>758</v>
      </c>
      <c r="F252" s="3" t="n">
        <v>4164</v>
      </c>
      <c r="G252" s="3" t="n">
        <v>12</v>
      </c>
      <c r="H252" s="3" t="n">
        <v>799073.6</v>
      </c>
      <c r="I252" s="3" t="n">
        <v>622</v>
      </c>
      <c r="J252" s="3" t="n">
        <v>230302</v>
      </c>
      <c r="K252" s="3" t="n">
        <v>46966</v>
      </c>
      <c r="L252" s="3" t="n">
        <v>663</v>
      </c>
      <c r="M252" s="4" t="n">
        <f aca="false">IFERROR(D252/C252,0)</f>
        <v>0.104728012201322</v>
      </c>
      <c r="N252" s="4" t="n">
        <f aca="false">IFERROR(E252/C252,0)</f>
        <v>0.385358413828165</v>
      </c>
      <c r="O252" s="5" t="n">
        <f aca="false">IFERROR(F252/MAX(C252-D252,1),0)</f>
        <v>2.36456558773424</v>
      </c>
      <c r="P252" s="5" t="n">
        <f aca="false">IFERROR(F252/C252,0)</f>
        <v>2.11692933401118</v>
      </c>
      <c r="Q252" s="5" t="n">
        <f aca="false">IFERROR(H252/C252,0)</f>
        <v>406.239755973564</v>
      </c>
      <c r="R252" s="4" t="n">
        <f aca="false">IFERROR(I252/F252,0)</f>
        <v>0.149375600384246</v>
      </c>
      <c r="S252" s="4" t="n">
        <f aca="false">IFERROR(K252/J252,0)</f>
        <v>0.203932228117863</v>
      </c>
      <c r="T252" s="6" t="s">
        <v>23</v>
      </c>
    </row>
    <row r="253" customFormat="false" ht="15" hidden="false" customHeight="false" outlineLevel="0" collapsed="false">
      <c r="A253" s="9" t="s">
        <v>286</v>
      </c>
      <c r="B253" s="9" t="s">
        <v>22</v>
      </c>
      <c r="C253" s="9" t="n">
        <v>596</v>
      </c>
      <c r="D253" s="9" t="n">
        <v>189</v>
      </c>
      <c r="E253" s="9" t="n">
        <v>358</v>
      </c>
      <c r="F253" s="9" t="n">
        <v>4920</v>
      </c>
      <c r="G253" s="9" t="n">
        <v>19</v>
      </c>
      <c r="H253" s="9" t="n">
        <v>558021.4</v>
      </c>
      <c r="I253" s="9" t="n">
        <v>3109</v>
      </c>
      <c r="J253" s="9" t="n">
        <v>112219</v>
      </c>
      <c r="K253" s="9" t="n">
        <v>72720</v>
      </c>
      <c r="L253" s="9" t="n">
        <v>241</v>
      </c>
      <c r="M253" s="10" t="n">
        <f aca="false">IFERROR(D253/C253,0)</f>
        <v>0.317114093959732</v>
      </c>
      <c r="N253" s="10" t="n">
        <f aca="false">IFERROR(E253/C253,0)</f>
        <v>0.600671140939597</v>
      </c>
      <c r="O253" s="11" t="n">
        <f aca="false">IFERROR(F253/MAX(C253-D253,1),0)</f>
        <v>12.0884520884521</v>
      </c>
      <c r="P253" s="11" t="n">
        <f aca="false">IFERROR(F253/C253,0)</f>
        <v>8.25503355704698</v>
      </c>
      <c r="Q253" s="11" t="n">
        <f aca="false">IFERROR(H253/C253,0)</f>
        <v>936.277516778524</v>
      </c>
      <c r="R253" s="10" t="n">
        <f aca="false">IFERROR(I253/F253,0)</f>
        <v>0.631910569105691</v>
      </c>
      <c r="S253" s="10" t="n">
        <f aca="false">IFERROR(K253/J253,0)</f>
        <v>0.648018606474839</v>
      </c>
      <c r="T253" s="12" t="s">
        <v>30</v>
      </c>
    </row>
    <row r="254" customFormat="false" ht="15" hidden="false" customHeight="false" outlineLevel="0" collapsed="false">
      <c r="A254" s="9" t="s">
        <v>287</v>
      </c>
      <c r="B254" s="9" t="s">
        <v>29</v>
      </c>
      <c r="C254" s="9" t="n">
        <v>1668</v>
      </c>
      <c r="D254" s="9" t="n">
        <v>512</v>
      </c>
      <c r="E254" s="9" t="n">
        <v>957</v>
      </c>
      <c r="F254" s="9" t="n">
        <v>15673</v>
      </c>
      <c r="G254" s="9" t="n">
        <v>32</v>
      </c>
      <c r="H254" s="9" t="n">
        <v>1984949.1</v>
      </c>
      <c r="I254" s="9" t="n">
        <v>8419</v>
      </c>
      <c r="J254" s="9" t="n">
        <v>182195</v>
      </c>
      <c r="K254" s="9" t="n">
        <v>137886</v>
      </c>
      <c r="L254" s="9" t="n">
        <v>0</v>
      </c>
      <c r="M254" s="10" t="n">
        <f aca="false">IFERROR(D254/C254,0)</f>
        <v>0.306954436450839</v>
      </c>
      <c r="N254" s="10" t="n">
        <f aca="false">IFERROR(E254/C254,0)</f>
        <v>0.573741007194245</v>
      </c>
      <c r="O254" s="11" t="n">
        <f aca="false">IFERROR(F254/MAX(C254-D254,1),0)</f>
        <v>13.5579584775087</v>
      </c>
      <c r="P254" s="11" t="n">
        <f aca="false">IFERROR(F254/C254,0)</f>
        <v>9.3962829736211</v>
      </c>
      <c r="Q254" s="11" t="n">
        <f aca="false">IFERROR(H254/C254,0)</f>
        <v>1190.01744604317</v>
      </c>
      <c r="R254" s="10" t="n">
        <f aca="false">IFERROR(I254/F254,0)</f>
        <v>0.537165826580744</v>
      </c>
      <c r="S254" s="10" t="n">
        <f aca="false">IFERROR(K254/J254,0)</f>
        <v>0.756804522626856</v>
      </c>
      <c r="T254" s="12" t="s">
        <v>30</v>
      </c>
    </row>
    <row r="255" customFormat="false" ht="15" hidden="false" customHeight="false" outlineLevel="0" collapsed="false">
      <c r="A255" s="9" t="s">
        <v>288</v>
      </c>
      <c r="B255" s="9" t="s">
        <v>26</v>
      </c>
      <c r="C255" s="9" t="n">
        <v>1587</v>
      </c>
      <c r="D255" s="9" t="n">
        <v>563</v>
      </c>
      <c r="E255" s="9" t="n">
        <v>1114</v>
      </c>
      <c r="F255" s="9" t="n">
        <v>18034</v>
      </c>
      <c r="G255" s="9" t="n">
        <v>33</v>
      </c>
      <c r="H255" s="9" t="n">
        <v>1842691.1</v>
      </c>
      <c r="I255" s="9" t="n">
        <v>11082</v>
      </c>
      <c r="J255" s="9" t="n">
        <v>281100</v>
      </c>
      <c r="K255" s="9" t="n">
        <v>275478</v>
      </c>
      <c r="L255" s="9" t="n">
        <v>345</v>
      </c>
      <c r="M255" s="10" t="n">
        <f aca="false">IFERROR(D255/C255,0)</f>
        <v>0.354757403906742</v>
      </c>
      <c r="N255" s="10" t="n">
        <f aca="false">IFERROR(E255/C255,0)</f>
        <v>0.701953371140517</v>
      </c>
      <c r="O255" s="11" t="n">
        <f aca="false">IFERROR(F255/MAX(C255-D255,1),0)</f>
        <v>17.611328125</v>
      </c>
      <c r="P255" s="11" t="n">
        <f aca="false">IFERROR(F255/C255,0)</f>
        <v>11.3635790800252</v>
      </c>
      <c r="Q255" s="11" t="n">
        <f aca="false">IFERROR(H255/C255,0)</f>
        <v>1161.11600504096</v>
      </c>
      <c r="R255" s="10" t="n">
        <f aca="false">IFERROR(I255/F255,0)</f>
        <v>0.614505933237219</v>
      </c>
      <c r="S255" s="10" t="n">
        <f aca="false">IFERROR(K255/J255,0)</f>
        <v>0.98</v>
      </c>
      <c r="T255" s="12" t="s">
        <v>30</v>
      </c>
    </row>
    <row r="256" customFormat="false" ht="15" hidden="false" customHeight="false" outlineLevel="0" collapsed="false">
      <c r="A256" s="3" t="s">
        <v>289</v>
      </c>
      <c r="B256" s="3" t="s">
        <v>29</v>
      </c>
      <c r="C256" s="3" t="n">
        <v>3283</v>
      </c>
      <c r="D256" s="3" t="n">
        <v>364</v>
      </c>
      <c r="E256" s="3" t="n">
        <v>875</v>
      </c>
      <c r="F256" s="3" t="n">
        <v>9087</v>
      </c>
      <c r="G256" s="3" t="n">
        <v>11</v>
      </c>
      <c r="H256" s="3" t="n">
        <v>965864.2</v>
      </c>
      <c r="I256" s="3" t="n">
        <v>1489</v>
      </c>
      <c r="J256" s="3" t="n">
        <v>597614</v>
      </c>
      <c r="K256" s="3" t="n">
        <v>107681</v>
      </c>
      <c r="L256" s="3" t="n">
        <v>0</v>
      </c>
      <c r="M256" s="4" t="n">
        <f aca="false">IFERROR(D256/C256,0)</f>
        <v>0.110874200426439</v>
      </c>
      <c r="N256" s="4" t="n">
        <f aca="false">IFERROR(E256/C256,0)</f>
        <v>0.266524520255864</v>
      </c>
      <c r="O256" s="5" t="n">
        <f aca="false">IFERROR(F256/MAX(C256-D256,1),0)</f>
        <v>3.11305241521069</v>
      </c>
      <c r="P256" s="5" t="n">
        <f aca="false">IFERROR(F256/C256,0)</f>
        <v>2.76789521778861</v>
      </c>
      <c r="Q256" s="5" t="n">
        <f aca="false">IFERROR(H256/C256,0)</f>
        <v>294.20170575693</v>
      </c>
      <c r="R256" s="4" t="n">
        <f aca="false">IFERROR(I256/F256,0)</f>
        <v>0.163860459997799</v>
      </c>
      <c r="S256" s="4" t="n">
        <f aca="false">IFERROR(K256/J256,0)</f>
        <v>0.18018486849371</v>
      </c>
      <c r="T256" s="6" t="s">
        <v>23</v>
      </c>
    </row>
    <row r="257" customFormat="false" ht="15" hidden="false" customHeight="false" outlineLevel="0" collapsed="false">
      <c r="A257" s="3" t="s">
        <v>290</v>
      </c>
      <c r="B257" s="3" t="s">
        <v>29</v>
      </c>
      <c r="C257" s="3" t="n">
        <v>1416</v>
      </c>
      <c r="D257" s="3" t="n">
        <v>85</v>
      </c>
      <c r="E257" s="3" t="n">
        <v>566</v>
      </c>
      <c r="F257" s="3" t="n">
        <v>1673</v>
      </c>
      <c r="G257" s="3" t="n">
        <v>5</v>
      </c>
      <c r="H257" s="3" t="n">
        <v>701803.7</v>
      </c>
      <c r="I257" s="3" t="n">
        <v>253</v>
      </c>
      <c r="J257" s="3" t="n">
        <v>199596</v>
      </c>
      <c r="K257" s="3" t="n">
        <v>15850</v>
      </c>
      <c r="L257" s="3" t="n">
        <v>0</v>
      </c>
      <c r="M257" s="4" t="n">
        <f aca="false">IFERROR(D257/C257,0)</f>
        <v>0.0600282485875706</v>
      </c>
      <c r="N257" s="4" t="n">
        <f aca="false">IFERROR(E257/C257,0)</f>
        <v>0.399717514124294</v>
      </c>
      <c r="O257" s="5" t="n">
        <f aca="false">IFERROR(F257/MAX(C257-D257,1),0)</f>
        <v>1.25694966190834</v>
      </c>
      <c r="P257" s="5" t="n">
        <f aca="false">IFERROR(F257/C257,0)</f>
        <v>1.18149717514124</v>
      </c>
      <c r="Q257" s="5" t="n">
        <f aca="false">IFERROR(H257/C257,0)</f>
        <v>495.624081920904</v>
      </c>
      <c r="R257" s="4" t="n">
        <f aca="false">IFERROR(I257/F257,0)</f>
        <v>0.151225343693963</v>
      </c>
      <c r="S257" s="4" t="n">
        <f aca="false">IFERROR(K257/J257,0)</f>
        <v>0.079410409026233</v>
      </c>
      <c r="T257" s="6" t="s">
        <v>23</v>
      </c>
    </row>
    <row r="258" customFormat="false" ht="15" hidden="false" customHeight="false" outlineLevel="0" collapsed="false">
      <c r="A258" s="3" t="s">
        <v>291</v>
      </c>
      <c r="B258" s="3" t="s">
        <v>22</v>
      </c>
      <c r="C258" s="3" t="n">
        <v>3578</v>
      </c>
      <c r="D258" s="3" t="n">
        <v>53</v>
      </c>
      <c r="E258" s="3" t="n">
        <v>828</v>
      </c>
      <c r="F258" s="3" t="n">
        <v>10967</v>
      </c>
      <c r="G258" s="3" t="n">
        <v>12</v>
      </c>
      <c r="H258" s="3" t="n">
        <v>725539.3</v>
      </c>
      <c r="I258" s="3" t="n">
        <v>1209</v>
      </c>
      <c r="J258" s="3" t="n">
        <v>459413</v>
      </c>
      <c r="K258" s="3" t="n">
        <v>77738</v>
      </c>
      <c r="L258" s="3" t="n">
        <v>746</v>
      </c>
      <c r="M258" s="4" t="n">
        <f aca="false">IFERROR(D258/C258,0)</f>
        <v>0.0148127445500279</v>
      </c>
      <c r="N258" s="4" t="n">
        <f aca="false">IFERROR(E258/C258,0)</f>
        <v>0.231414197875908</v>
      </c>
      <c r="O258" s="5" t="n">
        <f aca="false">IFERROR(F258/MAX(C258-D258,1),0)</f>
        <v>3.11120567375887</v>
      </c>
      <c r="P258" s="5" t="n">
        <f aca="false">IFERROR(F258/C258,0)</f>
        <v>3.06512017887088</v>
      </c>
      <c r="Q258" s="5" t="n">
        <f aca="false">IFERROR(H258/C258,0)</f>
        <v>202.777892677473</v>
      </c>
      <c r="R258" s="4" t="n">
        <f aca="false">IFERROR(I258/F258,0)</f>
        <v>0.110239810340111</v>
      </c>
      <c r="S258" s="4" t="n">
        <f aca="false">IFERROR(K258/J258,0)</f>
        <v>0.169211580865147</v>
      </c>
      <c r="T258" s="6" t="s">
        <v>23</v>
      </c>
    </row>
    <row r="259" customFormat="false" ht="15" hidden="false" customHeight="false" outlineLevel="0" collapsed="false">
      <c r="A259" s="3" t="s">
        <v>292</v>
      </c>
      <c r="B259" s="3" t="s">
        <v>29</v>
      </c>
      <c r="C259" s="3" t="n">
        <v>1701</v>
      </c>
      <c r="D259" s="3" t="n">
        <v>98</v>
      </c>
      <c r="E259" s="3" t="n">
        <v>593</v>
      </c>
      <c r="F259" s="3" t="n">
        <v>3488</v>
      </c>
      <c r="G259" s="3" t="n">
        <v>10</v>
      </c>
      <c r="H259" s="3" t="n">
        <v>729219</v>
      </c>
      <c r="I259" s="3" t="n">
        <v>672</v>
      </c>
      <c r="J259" s="3" t="n">
        <v>294564</v>
      </c>
      <c r="K259" s="3" t="n">
        <v>53859</v>
      </c>
      <c r="L259" s="3" t="n">
        <v>0</v>
      </c>
      <c r="M259" s="4" t="n">
        <f aca="false">IFERROR(D259/C259,0)</f>
        <v>0.0576131687242798</v>
      </c>
      <c r="N259" s="4" t="n">
        <f aca="false">IFERROR(E259/C259,0)</f>
        <v>0.348618459729571</v>
      </c>
      <c r="O259" s="5" t="n">
        <f aca="false">IFERROR(F259/MAX(C259-D259,1),0)</f>
        <v>2.17592014971928</v>
      </c>
      <c r="P259" s="5" t="n">
        <f aca="false">IFERROR(F259/C259,0)</f>
        <v>2.05055849500294</v>
      </c>
      <c r="Q259" s="5" t="n">
        <f aca="false">IFERROR(H259/C259,0)</f>
        <v>428.700176366843</v>
      </c>
      <c r="R259" s="4" t="n">
        <f aca="false">IFERROR(I259/F259,0)</f>
        <v>0.192660550458716</v>
      </c>
      <c r="S259" s="4" t="n">
        <f aca="false">IFERROR(K259/J259,0)</f>
        <v>0.182843117285208</v>
      </c>
      <c r="T259" s="6" t="s">
        <v>23</v>
      </c>
    </row>
    <row r="260" customFormat="false" ht="15" hidden="false" customHeight="false" outlineLevel="0" collapsed="false">
      <c r="A260" s="3" t="s">
        <v>293</v>
      </c>
      <c r="B260" s="3" t="s">
        <v>22</v>
      </c>
      <c r="C260" s="3" t="n">
        <v>853</v>
      </c>
      <c r="D260" s="3" t="n">
        <v>153</v>
      </c>
      <c r="E260" s="3" t="n">
        <v>400</v>
      </c>
      <c r="F260" s="3" t="n">
        <v>3019</v>
      </c>
      <c r="G260" s="3" t="n">
        <v>14</v>
      </c>
      <c r="H260" s="3" t="n">
        <v>481995.8</v>
      </c>
      <c r="I260" s="3" t="n">
        <v>642</v>
      </c>
      <c r="J260" s="3" t="n">
        <v>99394</v>
      </c>
      <c r="K260" s="3" t="n">
        <v>23988</v>
      </c>
      <c r="L260" s="3" t="n">
        <v>154</v>
      </c>
      <c r="M260" s="4" t="n">
        <f aca="false">IFERROR(D260/C260,0)</f>
        <v>0.17936694021102</v>
      </c>
      <c r="N260" s="4" t="n">
        <f aca="false">IFERROR(E260/C260,0)</f>
        <v>0.468933177022274</v>
      </c>
      <c r="O260" s="5" t="n">
        <f aca="false">IFERROR(F260/MAX(C260-D260,1),0)</f>
        <v>4.31285714285714</v>
      </c>
      <c r="P260" s="5" t="n">
        <f aca="false">IFERROR(F260/C260,0)</f>
        <v>3.53927315357562</v>
      </c>
      <c r="Q260" s="5" t="n">
        <f aca="false">IFERROR(H260/C260,0)</f>
        <v>565.059554513482</v>
      </c>
      <c r="R260" s="4" t="n">
        <f aca="false">IFERROR(I260/F260,0)</f>
        <v>0.212653196422657</v>
      </c>
      <c r="S260" s="4" t="n">
        <f aca="false">IFERROR(K260/J260,0)</f>
        <v>0.241342535766747</v>
      </c>
      <c r="T260" s="6" t="s">
        <v>23</v>
      </c>
    </row>
    <row r="261" customFormat="false" ht="15" hidden="false" customHeight="false" outlineLevel="0" collapsed="false">
      <c r="A261" s="9" t="s">
        <v>294</v>
      </c>
      <c r="B261" s="9" t="s">
        <v>29</v>
      </c>
      <c r="C261" s="9" t="n">
        <v>1490</v>
      </c>
      <c r="D261" s="9" t="n">
        <v>492</v>
      </c>
      <c r="E261" s="9" t="n">
        <v>758</v>
      </c>
      <c r="F261" s="9" t="n">
        <v>10302</v>
      </c>
      <c r="G261" s="9" t="n">
        <v>19</v>
      </c>
      <c r="H261" s="9" t="n">
        <v>1486685.3</v>
      </c>
      <c r="I261" s="9" t="n">
        <v>4883</v>
      </c>
      <c r="J261" s="9" t="n">
        <v>198018</v>
      </c>
      <c r="K261" s="9" t="n">
        <v>194058</v>
      </c>
      <c r="L261" s="9" t="n">
        <v>0</v>
      </c>
      <c r="M261" s="10" t="n">
        <f aca="false">IFERROR(D261/C261,0)</f>
        <v>0.330201342281879</v>
      </c>
      <c r="N261" s="10" t="n">
        <f aca="false">IFERROR(E261/C261,0)</f>
        <v>0.508724832214765</v>
      </c>
      <c r="O261" s="11" t="n">
        <f aca="false">IFERROR(F261/MAX(C261-D261,1),0)</f>
        <v>10.3226452905812</v>
      </c>
      <c r="P261" s="11" t="n">
        <f aca="false">IFERROR(F261/C261,0)</f>
        <v>6.91409395973154</v>
      </c>
      <c r="Q261" s="11" t="n">
        <f aca="false">IFERROR(H261/C261,0)</f>
        <v>997.775369127517</v>
      </c>
      <c r="R261" s="10" t="n">
        <f aca="false">IFERROR(I261/F261,0)</f>
        <v>0.473985633857503</v>
      </c>
      <c r="S261" s="10" t="n">
        <f aca="false">IFERROR(K261/J261,0)</f>
        <v>0.980001818016544</v>
      </c>
      <c r="T261" s="12" t="s">
        <v>30</v>
      </c>
    </row>
    <row r="262" customFormat="false" ht="15" hidden="false" customHeight="false" outlineLevel="0" collapsed="false">
      <c r="A262" s="3" t="s">
        <v>295</v>
      </c>
      <c r="B262" s="3" t="s">
        <v>29</v>
      </c>
      <c r="C262" s="3" t="n">
        <v>1960</v>
      </c>
      <c r="D262" s="3" t="n">
        <v>114</v>
      </c>
      <c r="E262" s="3" t="n">
        <v>573</v>
      </c>
      <c r="F262" s="3" t="n">
        <v>2464</v>
      </c>
      <c r="G262" s="3" t="n">
        <v>6</v>
      </c>
      <c r="H262" s="3" t="n">
        <v>462049.7</v>
      </c>
      <c r="I262" s="3" t="n">
        <v>507</v>
      </c>
      <c r="J262" s="3" t="n">
        <v>264827</v>
      </c>
      <c r="K262" s="3" t="n">
        <v>38342</v>
      </c>
      <c r="L262" s="3" t="n">
        <v>0</v>
      </c>
      <c r="M262" s="4" t="n">
        <f aca="false">IFERROR(D262/C262,0)</f>
        <v>0.0581632653061224</v>
      </c>
      <c r="N262" s="4" t="n">
        <f aca="false">IFERROR(E262/C262,0)</f>
        <v>0.29234693877551</v>
      </c>
      <c r="O262" s="5" t="n">
        <f aca="false">IFERROR(F262/MAX(C262-D262,1),0)</f>
        <v>1.33477789815818</v>
      </c>
      <c r="P262" s="5" t="n">
        <f aca="false">IFERROR(F262/C262,0)</f>
        <v>1.25714285714286</v>
      </c>
      <c r="Q262" s="5" t="n">
        <f aca="false">IFERROR(H262/C262,0)</f>
        <v>235.739642857143</v>
      </c>
      <c r="R262" s="4" t="n">
        <f aca="false">IFERROR(I262/F262,0)</f>
        <v>0.205762987012987</v>
      </c>
      <c r="S262" s="4" t="n">
        <f aca="false">IFERROR(K262/J262,0)</f>
        <v>0.144781310062796</v>
      </c>
      <c r="T262" s="6" t="s">
        <v>23</v>
      </c>
    </row>
    <row r="263" customFormat="false" ht="15" hidden="false" customHeight="false" outlineLevel="0" collapsed="false">
      <c r="A263" s="3" t="s">
        <v>296</v>
      </c>
      <c r="B263" s="3" t="s">
        <v>26</v>
      </c>
      <c r="C263" s="3" t="n">
        <v>1086</v>
      </c>
      <c r="D263" s="3" t="n">
        <v>189</v>
      </c>
      <c r="E263" s="3" t="n">
        <v>414</v>
      </c>
      <c r="F263" s="3" t="n">
        <v>3974</v>
      </c>
      <c r="G263" s="3" t="n">
        <v>15</v>
      </c>
      <c r="H263" s="3" t="n">
        <v>670475.1</v>
      </c>
      <c r="I263" s="3" t="n">
        <v>907</v>
      </c>
      <c r="J263" s="3" t="n">
        <v>151206</v>
      </c>
      <c r="K263" s="3" t="n">
        <v>25378</v>
      </c>
      <c r="L263" s="3" t="n">
        <v>224</v>
      </c>
      <c r="M263" s="4" t="n">
        <f aca="false">IFERROR(D263/C263,0)</f>
        <v>0.174033149171271</v>
      </c>
      <c r="N263" s="4" t="n">
        <f aca="false">IFERROR(E263/C263,0)</f>
        <v>0.38121546961326</v>
      </c>
      <c r="O263" s="5" t="n">
        <f aca="false">IFERROR(F263/MAX(C263-D263,1),0)</f>
        <v>4.43032329988852</v>
      </c>
      <c r="P263" s="5" t="n">
        <f aca="false">IFERROR(F263/C263,0)</f>
        <v>3.65930018416206</v>
      </c>
      <c r="Q263" s="5" t="n">
        <f aca="false">IFERROR(H263/C263,0)</f>
        <v>617.380386740332</v>
      </c>
      <c r="R263" s="4" t="n">
        <f aca="false">IFERROR(I263/F263,0)</f>
        <v>0.22823351786613</v>
      </c>
      <c r="S263" s="4" t="n">
        <f aca="false">IFERROR(K263/J263,0)</f>
        <v>0.167837255135378</v>
      </c>
      <c r="T263" s="6" t="s">
        <v>23</v>
      </c>
    </row>
    <row r="264" customFormat="false" ht="15" hidden="false" customHeight="false" outlineLevel="0" collapsed="false">
      <c r="A264" s="3" t="s">
        <v>297</v>
      </c>
      <c r="B264" s="3" t="s">
        <v>22</v>
      </c>
      <c r="C264" s="3" t="n">
        <v>3983</v>
      </c>
      <c r="D264" s="3" t="n">
        <v>539</v>
      </c>
      <c r="E264" s="3" t="n">
        <v>1353</v>
      </c>
      <c r="F264" s="3" t="n">
        <v>13509</v>
      </c>
      <c r="G264" s="3" t="n">
        <v>14</v>
      </c>
      <c r="H264" s="3" t="n">
        <v>1971538.3</v>
      </c>
      <c r="I264" s="3" t="n">
        <v>2646</v>
      </c>
      <c r="J264" s="3" t="n">
        <v>552553</v>
      </c>
      <c r="K264" s="3" t="n">
        <v>97101</v>
      </c>
      <c r="L264" s="3" t="n">
        <v>1010</v>
      </c>
      <c r="M264" s="4" t="n">
        <f aca="false">IFERROR(D264/C264,0)</f>
        <v>0.135325131810193</v>
      </c>
      <c r="N264" s="4" t="n">
        <f aca="false">IFERROR(E264/C264,0)</f>
        <v>0.339693698217424</v>
      </c>
      <c r="O264" s="5" t="n">
        <f aca="false">IFERROR(F264/MAX(C264-D264,1),0)</f>
        <v>3.92247386759582</v>
      </c>
      <c r="P264" s="5" t="n">
        <f aca="false">IFERROR(F264/C264,0)</f>
        <v>3.39166457444138</v>
      </c>
      <c r="Q264" s="5" t="n">
        <f aca="false">IFERROR(H264/C264,0)</f>
        <v>494.98827516947</v>
      </c>
      <c r="R264" s="4" t="n">
        <f aca="false">IFERROR(I264/F264,0)</f>
        <v>0.195869420386409</v>
      </c>
      <c r="S264" s="4" t="n">
        <f aca="false">IFERROR(K264/J264,0)</f>
        <v>0.175731558782596</v>
      </c>
      <c r="T264" s="6" t="s">
        <v>23</v>
      </c>
    </row>
    <row r="265" customFormat="false" ht="15" hidden="false" customHeight="false" outlineLevel="0" collapsed="false">
      <c r="A265" s="9" t="s">
        <v>298</v>
      </c>
      <c r="B265" s="9" t="s">
        <v>29</v>
      </c>
      <c r="C265" s="9" t="n">
        <v>1855</v>
      </c>
      <c r="D265" s="9" t="n">
        <v>418</v>
      </c>
      <c r="E265" s="9" t="n">
        <v>1060</v>
      </c>
      <c r="F265" s="9" t="n">
        <v>4638</v>
      </c>
      <c r="G265" s="9" t="n">
        <v>14</v>
      </c>
      <c r="H265" s="9" t="n">
        <v>1988039.7</v>
      </c>
      <c r="I265" s="9" t="n">
        <v>2560</v>
      </c>
      <c r="J265" s="9" t="n">
        <v>193663</v>
      </c>
      <c r="K265" s="9" t="n">
        <v>127481</v>
      </c>
      <c r="L265" s="9" t="n">
        <v>0</v>
      </c>
      <c r="M265" s="10" t="n">
        <f aca="false">IFERROR(D265/C265,0)</f>
        <v>0.22533692722372</v>
      </c>
      <c r="N265" s="10" t="n">
        <f aca="false">IFERROR(E265/C265,0)</f>
        <v>0.571428571428571</v>
      </c>
      <c r="O265" s="11" t="n">
        <f aca="false">IFERROR(F265/MAX(C265-D265,1),0)</f>
        <v>3.22755741127349</v>
      </c>
      <c r="P265" s="11" t="n">
        <f aca="false">IFERROR(F265/C265,0)</f>
        <v>2.50026954177898</v>
      </c>
      <c r="Q265" s="11" t="n">
        <f aca="false">IFERROR(H265/C265,0)</f>
        <v>1071.7195148248</v>
      </c>
      <c r="R265" s="10" t="n">
        <f aca="false">IFERROR(I265/F265,0)</f>
        <v>0.551962052608883</v>
      </c>
      <c r="S265" s="10" t="n">
        <f aca="false">IFERROR(K265/J265,0)</f>
        <v>0.658262032499755</v>
      </c>
      <c r="T265" s="12" t="s">
        <v>30</v>
      </c>
    </row>
    <row r="266" customFormat="false" ht="15" hidden="false" customHeight="false" outlineLevel="0" collapsed="false">
      <c r="A266" s="3" t="s">
        <v>299</v>
      </c>
      <c r="B266" s="3" t="s">
        <v>29</v>
      </c>
      <c r="C266" s="3" t="n">
        <v>2890</v>
      </c>
      <c r="D266" s="3" t="n">
        <v>48</v>
      </c>
      <c r="E266" s="3" t="n">
        <v>878</v>
      </c>
      <c r="F266" s="3" t="n">
        <v>5527</v>
      </c>
      <c r="G266" s="3" t="n">
        <v>6</v>
      </c>
      <c r="H266" s="3" t="n">
        <v>914466.8</v>
      </c>
      <c r="I266" s="3" t="n">
        <v>900</v>
      </c>
      <c r="J266" s="3" t="n">
        <v>440293</v>
      </c>
      <c r="K266" s="3" t="n">
        <v>78591</v>
      </c>
      <c r="L266" s="3" t="n">
        <v>0</v>
      </c>
      <c r="M266" s="4" t="n">
        <f aca="false">IFERROR(D266/C266,0)</f>
        <v>0.0166089965397924</v>
      </c>
      <c r="N266" s="4" t="n">
        <f aca="false">IFERROR(E266/C266,0)</f>
        <v>0.303806228373702</v>
      </c>
      <c r="O266" s="5" t="n">
        <f aca="false">IFERROR(F266/MAX(C266-D266,1),0)</f>
        <v>1.94475721323012</v>
      </c>
      <c r="P266" s="5" t="n">
        <f aca="false">IFERROR(F266/C266,0)</f>
        <v>1.91245674740484</v>
      </c>
      <c r="Q266" s="5" t="n">
        <f aca="false">IFERROR(H266/C266,0)</f>
        <v>316.424498269896</v>
      </c>
      <c r="R266" s="4" t="n">
        <f aca="false">IFERROR(I266/F266,0)</f>
        <v>0.162836982087932</v>
      </c>
      <c r="S266" s="4" t="n">
        <f aca="false">IFERROR(K266/J266,0)</f>
        <v>0.178497046285087</v>
      </c>
      <c r="T266" s="6" t="s">
        <v>23</v>
      </c>
    </row>
    <row r="267" customFormat="false" ht="15" hidden="false" customHeight="false" outlineLevel="0" collapsed="false">
      <c r="A267" s="3" t="s">
        <v>300</v>
      </c>
      <c r="B267" s="3" t="s">
        <v>22</v>
      </c>
      <c r="C267" s="3" t="n">
        <v>833</v>
      </c>
      <c r="D267" s="3" t="n">
        <v>56</v>
      </c>
      <c r="E267" s="3" t="n">
        <v>331</v>
      </c>
      <c r="F267" s="3" t="n">
        <v>1347</v>
      </c>
      <c r="G267" s="3" t="n">
        <v>4</v>
      </c>
      <c r="H267" s="3" t="n">
        <v>336846.1</v>
      </c>
      <c r="I267" s="3" t="n">
        <v>283</v>
      </c>
      <c r="J267" s="3" t="n">
        <v>76931</v>
      </c>
      <c r="K267" s="3" t="n">
        <v>4099</v>
      </c>
      <c r="L267" s="3" t="n">
        <v>250</v>
      </c>
      <c r="M267" s="4" t="n">
        <f aca="false">IFERROR(D267/C267,0)</f>
        <v>0.0672268907563025</v>
      </c>
      <c r="N267" s="4" t="n">
        <f aca="false">IFERROR(E267/C267,0)</f>
        <v>0.397358943577431</v>
      </c>
      <c r="O267" s="5" t="n">
        <f aca="false">IFERROR(F267/MAX(C267-D267,1),0)</f>
        <v>1.73359073359073</v>
      </c>
      <c r="P267" s="5" t="n">
        <f aca="false">IFERROR(F267/C267,0)</f>
        <v>1.61704681872749</v>
      </c>
      <c r="Q267" s="5" t="n">
        <f aca="false">IFERROR(H267/C267,0)</f>
        <v>404.377070828331</v>
      </c>
      <c r="R267" s="4" t="n">
        <f aca="false">IFERROR(I267/F267,0)</f>
        <v>0.210096510764662</v>
      </c>
      <c r="S267" s="4" t="n">
        <f aca="false">IFERROR(K267/J267,0)</f>
        <v>0.0532815120042636</v>
      </c>
      <c r="T267" s="6" t="s">
        <v>23</v>
      </c>
    </row>
    <row r="268" customFormat="false" ht="15" hidden="false" customHeight="false" outlineLevel="0" collapsed="false">
      <c r="A268" s="3" t="s">
        <v>301</v>
      </c>
      <c r="B268" s="3" t="s">
        <v>29</v>
      </c>
      <c r="C268" s="3" t="n">
        <v>2482</v>
      </c>
      <c r="D268" s="3" t="n">
        <v>157</v>
      </c>
      <c r="E268" s="3" t="n">
        <v>628</v>
      </c>
      <c r="F268" s="3" t="n">
        <v>4843</v>
      </c>
      <c r="G268" s="3" t="n">
        <v>10</v>
      </c>
      <c r="H268" s="3" t="n">
        <v>1373220.3</v>
      </c>
      <c r="I268" s="3" t="n">
        <v>999</v>
      </c>
      <c r="J268" s="3" t="n">
        <v>186397</v>
      </c>
      <c r="K268" s="3" t="n">
        <v>41661</v>
      </c>
      <c r="L268" s="3" t="n">
        <v>0</v>
      </c>
      <c r="M268" s="4" t="n">
        <f aca="false">IFERROR(D268/C268,0)</f>
        <v>0.0632554391619662</v>
      </c>
      <c r="N268" s="4" t="n">
        <f aca="false">IFERROR(E268/C268,0)</f>
        <v>0.253021756647865</v>
      </c>
      <c r="O268" s="5" t="n">
        <f aca="false">IFERROR(F268/MAX(C268-D268,1),0)</f>
        <v>2.08301075268817</v>
      </c>
      <c r="P268" s="5" t="n">
        <f aca="false">IFERROR(F268/C268,0)</f>
        <v>1.95124899274778</v>
      </c>
      <c r="Q268" s="5" t="n">
        <f aca="false">IFERROR(H268/C268,0)</f>
        <v>553.271676067687</v>
      </c>
      <c r="R268" s="4" t="n">
        <f aca="false">IFERROR(I268/F268,0)</f>
        <v>0.206277100970473</v>
      </c>
      <c r="S268" s="4" t="n">
        <f aca="false">IFERROR(K268/J268,0)</f>
        <v>0.223506816096826</v>
      </c>
      <c r="T268" s="6" t="s">
        <v>23</v>
      </c>
    </row>
    <row r="269" customFormat="false" ht="15" hidden="false" customHeight="false" outlineLevel="0" collapsed="false">
      <c r="A269" s="3" t="s">
        <v>302</v>
      </c>
      <c r="B269" s="3" t="s">
        <v>29</v>
      </c>
      <c r="C269" s="3" t="n">
        <v>460</v>
      </c>
      <c r="D269" s="3" t="n">
        <v>34</v>
      </c>
      <c r="E269" s="3" t="n">
        <v>119</v>
      </c>
      <c r="F269" s="3" t="n">
        <v>822</v>
      </c>
      <c r="G269" s="3" t="n">
        <v>8</v>
      </c>
      <c r="H269" s="3" t="n">
        <v>125501.3</v>
      </c>
      <c r="I269" s="3" t="n">
        <v>141</v>
      </c>
      <c r="J269" s="3" t="n">
        <v>71086</v>
      </c>
      <c r="K269" s="3" t="n">
        <v>14345</v>
      </c>
      <c r="L269" s="3" t="n">
        <v>0</v>
      </c>
      <c r="M269" s="4" t="n">
        <f aca="false">IFERROR(D269/C269,0)</f>
        <v>0.0739130434782609</v>
      </c>
      <c r="N269" s="4" t="n">
        <f aca="false">IFERROR(E269/C269,0)</f>
        <v>0.258695652173913</v>
      </c>
      <c r="O269" s="5" t="n">
        <f aca="false">IFERROR(F269/MAX(C269-D269,1),0)</f>
        <v>1.92957746478873</v>
      </c>
      <c r="P269" s="5" t="n">
        <f aca="false">IFERROR(F269/C269,0)</f>
        <v>1.78695652173913</v>
      </c>
      <c r="Q269" s="5" t="n">
        <f aca="false">IFERROR(H269/C269,0)</f>
        <v>272.828913043478</v>
      </c>
      <c r="R269" s="4" t="n">
        <f aca="false">IFERROR(I269/F269,0)</f>
        <v>0.171532846715328</v>
      </c>
      <c r="S269" s="4" t="n">
        <f aca="false">IFERROR(K269/J269,0)</f>
        <v>0.201797822356019</v>
      </c>
      <c r="T269" s="6" t="s">
        <v>23</v>
      </c>
    </row>
    <row r="270" customFormat="false" ht="15" hidden="false" customHeight="false" outlineLevel="0" collapsed="false">
      <c r="A270" s="3" t="s">
        <v>303</v>
      </c>
      <c r="B270" s="3" t="s">
        <v>29</v>
      </c>
      <c r="C270" s="3" t="n">
        <v>908</v>
      </c>
      <c r="D270" s="3" t="n">
        <v>57</v>
      </c>
      <c r="E270" s="3" t="n">
        <v>206</v>
      </c>
      <c r="F270" s="3" t="n">
        <v>1606</v>
      </c>
      <c r="G270" s="3" t="n">
        <v>5</v>
      </c>
      <c r="H270" s="3" t="n">
        <v>426300.4</v>
      </c>
      <c r="I270" s="3" t="n">
        <v>354</v>
      </c>
      <c r="J270" s="3" t="n">
        <v>138161</v>
      </c>
      <c r="K270" s="3" t="n">
        <v>30926</v>
      </c>
      <c r="L270" s="3" t="n">
        <v>0</v>
      </c>
      <c r="M270" s="4" t="n">
        <f aca="false">IFERROR(D270/C270,0)</f>
        <v>0.0627753303964758</v>
      </c>
      <c r="N270" s="4" t="n">
        <f aca="false">IFERROR(E270/C270,0)</f>
        <v>0.226872246696035</v>
      </c>
      <c r="O270" s="5" t="n">
        <f aca="false">IFERROR(F270/MAX(C270-D270,1),0)</f>
        <v>1.88719153936545</v>
      </c>
      <c r="P270" s="5" t="n">
        <f aca="false">IFERROR(F270/C270,0)</f>
        <v>1.76872246696035</v>
      </c>
      <c r="Q270" s="5" t="n">
        <f aca="false">IFERROR(H270/C270,0)</f>
        <v>469.493832599119</v>
      </c>
      <c r="R270" s="4" t="n">
        <f aca="false">IFERROR(I270/F270,0)</f>
        <v>0.220423412204234</v>
      </c>
      <c r="S270" s="4" t="n">
        <f aca="false">IFERROR(K270/J270,0)</f>
        <v>0.223840302256064</v>
      </c>
      <c r="T270" s="6" t="s">
        <v>23</v>
      </c>
    </row>
    <row r="271" customFormat="false" ht="15" hidden="false" customHeight="false" outlineLevel="0" collapsed="false">
      <c r="A271" s="9" t="s">
        <v>304</v>
      </c>
      <c r="B271" s="9" t="s">
        <v>26</v>
      </c>
      <c r="C271" s="9" t="n">
        <v>871</v>
      </c>
      <c r="D271" s="9" t="n">
        <v>174</v>
      </c>
      <c r="E271" s="9" t="n">
        <v>469</v>
      </c>
      <c r="F271" s="9" t="n">
        <v>8157</v>
      </c>
      <c r="G271" s="9" t="n">
        <v>31</v>
      </c>
      <c r="H271" s="9" t="n">
        <v>903275.2</v>
      </c>
      <c r="I271" s="9" t="n">
        <v>5191</v>
      </c>
      <c r="J271" s="9" t="n">
        <v>130116</v>
      </c>
      <c r="K271" s="9" t="n">
        <v>86832</v>
      </c>
      <c r="L271" s="9" t="n">
        <v>145</v>
      </c>
      <c r="M271" s="10" t="n">
        <f aca="false">IFERROR(D271/C271,0)</f>
        <v>0.199770378874857</v>
      </c>
      <c r="N271" s="10" t="n">
        <f aca="false">IFERROR(E271/C271,0)</f>
        <v>0.538461538461538</v>
      </c>
      <c r="O271" s="11" t="n">
        <f aca="false">IFERROR(F271/MAX(C271-D271,1),0)</f>
        <v>11.7030129124821</v>
      </c>
      <c r="P271" s="11" t="n">
        <f aca="false">IFERROR(F271/C271,0)</f>
        <v>9.36509758897819</v>
      </c>
      <c r="Q271" s="11" t="n">
        <f aca="false">IFERROR(H271/C271,0)</f>
        <v>1037.05533869116</v>
      </c>
      <c r="R271" s="10" t="n">
        <f aca="false">IFERROR(I271/F271,0)</f>
        <v>0.636385926198357</v>
      </c>
      <c r="S271" s="10" t="n">
        <f aca="false">IFERROR(K271/J271,0)</f>
        <v>0.667342986258416</v>
      </c>
      <c r="T271" s="12" t="s">
        <v>30</v>
      </c>
    </row>
    <row r="272" customFormat="false" ht="15" hidden="false" customHeight="false" outlineLevel="0" collapsed="false">
      <c r="A272" s="9" t="s">
        <v>305</v>
      </c>
      <c r="B272" s="9" t="s">
        <v>26</v>
      </c>
      <c r="C272" s="9" t="n">
        <v>3358</v>
      </c>
      <c r="D272" s="9" t="n">
        <v>619</v>
      </c>
      <c r="E272" s="9" t="n">
        <v>1739</v>
      </c>
      <c r="F272" s="9" t="n">
        <v>18000</v>
      </c>
      <c r="G272" s="9" t="n">
        <v>20</v>
      </c>
      <c r="H272" s="9" t="n">
        <v>2445744</v>
      </c>
      <c r="I272" s="9" t="n">
        <v>13435</v>
      </c>
      <c r="J272" s="9" t="n">
        <v>546161</v>
      </c>
      <c r="K272" s="9" t="n">
        <v>431286</v>
      </c>
      <c r="L272" s="9" t="n">
        <v>926</v>
      </c>
      <c r="M272" s="10" t="n">
        <f aca="false">IFERROR(D272/C272,0)</f>
        <v>0.184335914234664</v>
      </c>
      <c r="N272" s="10" t="n">
        <f aca="false">IFERROR(E272/C272,0)</f>
        <v>0.517867778439547</v>
      </c>
      <c r="O272" s="11" t="n">
        <f aca="false">IFERROR(F272/MAX(C272-D272,1),0)</f>
        <v>6.57174151150055</v>
      </c>
      <c r="P272" s="11" t="n">
        <f aca="false">IFERROR(F272/C272,0)</f>
        <v>5.36033353186421</v>
      </c>
      <c r="Q272" s="11" t="n">
        <f aca="false">IFERROR(H272/C272,0)</f>
        <v>728.333531864205</v>
      </c>
      <c r="R272" s="10" t="n">
        <f aca="false">IFERROR(I272/F272,0)</f>
        <v>0.746388888888889</v>
      </c>
      <c r="S272" s="10" t="n">
        <f aca="false">IFERROR(K272/J272,0)</f>
        <v>0.789668248007456</v>
      </c>
      <c r="T272" s="12" t="s">
        <v>30</v>
      </c>
    </row>
    <row r="273" customFormat="false" ht="15" hidden="false" customHeight="false" outlineLevel="0" collapsed="false">
      <c r="A273" s="3" t="s">
        <v>306</v>
      </c>
      <c r="B273" s="3" t="s">
        <v>29</v>
      </c>
      <c r="C273" s="3" t="n">
        <v>1349</v>
      </c>
      <c r="D273" s="3" t="n">
        <v>169</v>
      </c>
      <c r="E273" s="3" t="n">
        <v>533</v>
      </c>
      <c r="F273" s="3" t="n">
        <v>3871</v>
      </c>
      <c r="G273" s="3" t="n">
        <v>14</v>
      </c>
      <c r="H273" s="3" t="n">
        <v>818712.6</v>
      </c>
      <c r="I273" s="3" t="n">
        <v>782</v>
      </c>
      <c r="J273" s="3" t="n">
        <v>227620</v>
      </c>
      <c r="K273" s="3" t="n">
        <v>66210</v>
      </c>
      <c r="L273" s="3" t="n">
        <v>0</v>
      </c>
      <c r="M273" s="4" t="n">
        <f aca="false">IFERROR(D273/C273,0)</f>
        <v>0.125277983691623</v>
      </c>
      <c r="N273" s="4" t="n">
        <f aca="false">IFERROR(E273/C273,0)</f>
        <v>0.395107487027428</v>
      </c>
      <c r="O273" s="5" t="n">
        <f aca="false">IFERROR(F273/MAX(C273-D273,1),0)</f>
        <v>3.28050847457627</v>
      </c>
      <c r="P273" s="5" t="n">
        <f aca="false">IFERROR(F273/C273,0)</f>
        <v>2.86953298739807</v>
      </c>
      <c r="Q273" s="5" t="n">
        <f aca="false">IFERROR(H273/C273,0)</f>
        <v>606.903335804299</v>
      </c>
      <c r="R273" s="4" t="n">
        <f aca="false">IFERROR(I273/F273,0)</f>
        <v>0.202014983208473</v>
      </c>
      <c r="S273" s="4" t="n">
        <f aca="false">IFERROR(K273/J273,0)</f>
        <v>0.290879536068887</v>
      </c>
      <c r="T273" s="6" t="s">
        <v>23</v>
      </c>
    </row>
    <row r="274" customFormat="false" ht="15" hidden="false" customHeight="false" outlineLevel="0" collapsed="false">
      <c r="A274" s="9" t="s">
        <v>307</v>
      </c>
      <c r="B274" s="9" t="s">
        <v>26</v>
      </c>
      <c r="C274" s="9" t="n">
        <v>1985</v>
      </c>
      <c r="D274" s="9" t="n">
        <v>445</v>
      </c>
      <c r="E274" s="9" t="n">
        <v>919</v>
      </c>
      <c r="F274" s="9" t="n">
        <v>5789</v>
      </c>
      <c r="G274" s="9" t="n">
        <v>11</v>
      </c>
      <c r="H274" s="9" t="n">
        <v>1054228.5</v>
      </c>
      <c r="I274" s="9" t="n">
        <v>2764</v>
      </c>
      <c r="J274" s="9" t="n">
        <v>159197</v>
      </c>
      <c r="K274" s="9" t="n">
        <v>106951</v>
      </c>
      <c r="L274" s="9" t="n">
        <v>620</v>
      </c>
      <c r="M274" s="10" t="n">
        <f aca="false">IFERROR(D274/C274,0)</f>
        <v>0.224181360201511</v>
      </c>
      <c r="N274" s="10" t="n">
        <f aca="false">IFERROR(E274/C274,0)</f>
        <v>0.462972292191436</v>
      </c>
      <c r="O274" s="11" t="n">
        <f aca="false">IFERROR(F274/MAX(C274-D274,1),0)</f>
        <v>3.75909090909091</v>
      </c>
      <c r="P274" s="11" t="n">
        <f aca="false">IFERROR(F274/C274,0)</f>
        <v>2.91637279596977</v>
      </c>
      <c r="Q274" s="11" t="n">
        <f aca="false">IFERROR(H274/C274,0)</f>
        <v>531.097481108312</v>
      </c>
      <c r="R274" s="10" t="n">
        <f aca="false">IFERROR(I274/F274,0)</f>
        <v>0.477457246501987</v>
      </c>
      <c r="S274" s="10" t="n">
        <f aca="false">IFERROR(K274/J274,0)</f>
        <v>0.671815423657481</v>
      </c>
      <c r="T274" s="12" t="s">
        <v>30</v>
      </c>
    </row>
    <row r="275" customFormat="false" ht="15" hidden="false" customHeight="false" outlineLevel="0" collapsed="false">
      <c r="A275" s="9" t="s">
        <v>308</v>
      </c>
      <c r="B275" s="9" t="s">
        <v>22</v>
      </c>
      <c r="C275" s="9" t="n">
        <v>2870</v>
      </c>
      <c r="D275" s="9" t="n">
        <v>718</v>
      </c>
      <c r="E275" s="9" t="n">
        <v>1510</v>
      </c>
      <c r="F275" s="9" t="n">
        <v>16179</v>
      </c>
      <c r="G275" s="9" t="n">
        <v>13</v>
      </c>
      <c r="H275" s="9" t="n">
        <v>2505308.8</v>
      </c>
      <c r="I275" s="9" t="n">
        <v>13180</v>
      </c>
      <c r="J275" s="9" t="n">
        <v>205828</v>
      </c>
      <c r="K275" s="9" t="n">
        <v>141138</v>
      </c>
      <c r="L275" s="9" t="n">
        <v>354</v>
      </c>
      <c r="M275" s="10" t="n">
        <f aca="false">IFERROR(D275/C275,0)</f>
        <v>0.250174216027875</v>
      </c>
      <c r="N275" s="10" t="n">
        <f aca="false">IFERROR(E275/C275,0)</f>
        <v>0.526132404181185</v>
      </c>
      <c r="O275" s="11" t="n">
        <f aca="false">IFERROR(F275/MAX(C275-D275,1),0)</f>
        <v>7.51812267657993</v>
      </c>
      <c r="P275" s="11" t="n">
        <f aca="false">IFERROR(F275/C275,0)</f>
        <v>5.63728222996516</v>
      </c>
      <c r="Q275" s="11" t="n">
        <f aca="false">IFERROR(H275/C275,0)</f>
        <v>872.929895470383</v>
      </c>
      <c r="R275" s="10" t="n">
        <f aca="false">IFERROR(I275/F275,0)</f>
        <v>0.814636256876198</v>
      </c>
      <c r="S275" s="10" t="n">
        <f aca="false">IFERROR(K275/J275,0)</f>
        <v>0.685708455603708</v>
      </c>
      <c r="T275" s="12" t="s">
        <v>30</v>
      </c>
    </row>
    <row r="276" customFormat="false" ht="15" hidden="false" customHeight="false" outlineLevel="0" collapsed="false">
      <c r="A276" s="3" t="s">
        <v>309</v>
      </c>
      <c r="B276" s="3" t="s">
        <v>22</v>
      </c>
      <c r="C276" s="3" t="n">
        <v>3718</v>
      </c>
      <c r="D276" s="3" t="n">
        <v>228</v>
      </c>
      <c r="E276" s="3" t="n">
        <v>1123</v>
      </c>
      <c r="F276" s="3" t="n">
        <v>6881</v>
      </c>
      <c r="G276" s="3" t="n">
        <v>12</v>
      </c>
      <c r="H276" s="3" t="n">
        <v>827544.3</v>
      </c>
      <c r="I276" s="3" t="n">
        <v>1048</v>
      </c>
      <c r="J276" s="3" t="n">
        <v>459856</v>
      </c>
      <c r="K276" s="3" t="n">
        <v>74919</v>
      </c>
      <c r="L276" s="3" t="n">
        <v>339</v>
      </c>
      <c r="M276" s="4" t="n">
        <f aca="false">IFERROR(D276/C276,0)</f>
        <v>0.0613232920925229</v>
      </c>
      <c r="N276" s="4" t="n">
        <f aca="false">IFERROR(E276/C276,0)</f>
        <v>0.302044109736417</v>
      </c>
      <c r="O276" s="5" t="n">
        <f aca="false">IFERROR(F276/MAX(C276-D276,1),0)</f>
        <v>1.97163323782235</v>
      </c>
      <c r="P276" s="5" t="n">
        <f aca="false">IFERROR(F276/C276,0)</f>
        <v>1.85072619688004</v>
      </c>
      <c r="Q276" s="5" t="n">
        <f aca="false">IFERROR(H276/C276,0)</f>
        <v>222.577810650888</v>
      </c>
      <c r="R276" s="4" t="n">
        <f aca="false">IFERROR(I276/F276,0)</f>
        <v>0.152303444266822</v>
      </c>
      <c r="S276" s="4" t="n">
        <f aca="false">IFERROR(K276/J276,0)</f>
        <v>0.162918391844403</v>
      </c>
      <c r="T276" s="6" t="s">
        <v>23</v>
      </c>
    </row>
    <row r="277" customFormat="false" ht="15" hidden="false" customHeight="false" outlineLevel="0" collapsed="false">
      <c r="A277" s="3" t="s">
        <v>310</v>
      </c>
      <c r="B277" s="3" t="s">
        <v>29</v>
      </c>
      <c r="C277" s="3" t="n">
        <v>1335</v>
      </c>
      <c r="D277" s="3" t="n">
        <v>130</v>
      </c>
      <c r="E277" s="3" t="n">
        <v>551</v>
      </c>
      <c r="F277" s="3" t="n">
        <v>4082</v>
      </c>
      <c r="G277" s="3" t="n">
        <v>9</v>
      </c>
      <c r="H277" s="3" t="n">
        <v>619589.4</v>
      </c>
      <c r="I277" s="3" t="n">
        <v>870</v>
      </c>
      <c r="J277" s="3" t="n">
        <v>195439</v>
      </c>
      <c r="K277" s="3" t="n">
        <v>37174</v>
      </c>
      <c r="L277" s="3" t="n">
        <v>0</v>
      </c>
      <c r="M277" s="4" t="n">
        <f aca="false">IFERROR(D277/C277,0)</f>
        <v>0.0973782771535581</v>
      </c>
      <c r="N277" s="4" t="n">
        <f aca="false">IFERROR(E277/C277,0)</f>
        <v>0.412734082397004</v>
      </c>
      <c r="O277" s="5" t="n">
        <f aca="false">IFERROR(F277/MAX(C277-D277,1),0)</f>
        <v>3.38755186721992</v>
      </c>
      <c r="P277" s="5" t="n">
        <f aca="false">IFERROR(F277/C277,0)</f>
        <v>3.05767790262172</v>
      </c>
      <c r="Q277" s="5" t="n">
        <f aca="false">IFERROR(H277/C277,0)</f>
        <v>464.11191011236</v>
      </c>
      <c r="R277" s="4" t="n">
        <f aca="false">IFERROR(I277/F277,0)</f>
        <v>0.21313081822636</v>
      </c>
      <c r="S277" s="4" t="n">
        <f aca="false">IFERROR(K277/J277,0)</f>
        <v>0.190207686285746</v>
      </c>
      <c r="T277" s="6" t="s">
        <v>23</v>
      </c>
    </row>
    <row r="278" customFormat="false" ht="15" hidden="false" customHeight="false" outlineLevel="0" collapsed="false">
      <c r="A278" s="3" t="s">
        <v>311</v>
      </c>
      <c r="B278" s="3" t="s">
        <v>22</v>
      </c>
      <c r="C278" s="3" t="n">
        <v>603</v>
      </c>
      <c r="D278" s="3" t="n">
        <v>95</v>
      </c>
      <c r="E278" s="3" t="n">
        <v>187</v>
      </c>
      <c r="F278" s="3" t="n">
        <v>1902</v>
      </c>
      <c r="G278" s="3" t="n">
        <v>16</v>
      </c>
      <c r="H278" s="3" t="n">
        <v>248212.5</v>
      </c>
      <c r="I278" s="3" t="n">
        <v>482</v>
      </c>
      <c r="J278" s="3" t="n">
        <v>96384</v>
      </c>
      <c r="K278" s="3" t="n">
        <v>24275</v>
      </c>
      <c r="L278" s="3" t="n">
        <v>269</v>
      </c>
      <c r="M278" s="4" t="n">
        <f aca="false">IFERROR(D278/C278,0)</f>
        <v>0.157545605306799</v>
      </c>
      <c r="N278" s="4" t="n">
        <f aca="false">IFERROR(E278/C278,0)</f>
        <v>0.310116086235489</v>
      </c>
      <c r="O278" s="5" t="n">
        <f aca="false">IFERROR(F278/MAX(C278-D278,1),0)</f>
        <v>3.74409448818898</v>
      </c>
      <c r="P278" s="5" t="n">
        <f aca="false">IFERROR(F278/C278,0)</f>
        <v>3.15422885572139</v>
      </c>
      <c r="Q278" s="5" t="n">
        <f aca="false">IFERROR(H278/C278,0)</f>
        <v>411.629353233831</v>
      </c>
      <c r="R278" s="4" t="n">
        <f aca="false">IFERROR(I278/F278,0)</f>
        <v>0.2534174553102</v>
      </c>
      <c r="S278" s="4" t="n">
        <f aca="false">IFERROR(K278/J278,0)</f>
        <v>0.251857154714475</v>
      </c>
      <c r="T278" s="6" t="s">
        <v>23</v>
      </c>
    </row>
    <row r="279" customFormat="false" ht="15" hidden="false" customHeight="false" outlineLevel="0" collapsed="false">
      <c r="A279" s="9" t="s">
        <v>312</v>
      </c>
      <c r="B279" s="9" t="s">
        <v>26</v>
      </c>
      <c r="C279" s="9" t="n">
        <v>404</v>
      </c>
      <c r="D279" s="9" t="n">
        <v>106</v>
      </c>
      <c r="E279" s="9" t="n">
        <v>194</v>
      </c>
      <c r="F279" s="9" t="n">
        <v>2759</v>
      </c>
      <c r="G279" s="9" t="n">
        <v>20</v>
      </c>
      <c r="H279" s="9" t="n">
        <v>325284.4</v>
      </c>
      <c r="I279" s="9" t="n">
        <v>2017</v>
      </c>
      <c r="J279" s="9" t="n">
        <v>37664</v>
      </c>
      <c r="K279" s="9" t="n">
        <v>25462</v>
      </c>
      <c r="L279" s="9" t="n">
        <v>90</v>
      </c>
      <c r="M279" s="10" t="n">
        <f aca="false">IFERROR(D279/C279,0)</f>
        <v>0.262376237623762</v>
      </c>
      <c r="N279" s="10" t="n">
        <f aca="false">IFERROR(E279/C279,0)</f>
        <v>0.48019801980198</v>
      </c>
      <c r="O279" s="11" t="n">
        <f aca="false">IFERROR(F279/MAX(C279-D279,1),0)</f>
        <v>9.25838926174497</v>
      </c>
      <c r="P279" s="11" t="n">
        <f aca="false">IFERROR(F279/C279,0)</f>
        <v>6.82920792079208</v>
      </c>
      <c r="Q279" s="11" t="n">
        <f aca="false">IFERROR(H279/C279,0)</f>
        <v>805.159405940594</v>
      </c>
      <c r="R279" s="10" t="n">
        <f aca="false">IFERROR(I279/F279,0)</f>
        <v>0.731061978977891</v>
      </c>
      <c r="S279" s="10" t="n">
        <f aca="false">IFERROR(K279/J279,0)</f>
        <v>0.676030161427358</v>
      </c>
      <c r="T279" s="12" t="s">
        <v>30</v>
      </c>
    </row>
    <row r="280" customFormat="false" ht="15" hidden="false" customHeight="false" outlineLevel="0" collapsed="false">
      <c r="A280" s="9" t="s">
        <v>313</v>
      </c>
      <c r="B280" s="9" t="s">
        <v>22</v>
      </c>
      <c r="C280" s="9" t="n">
        <v>3235</v>
      </c>
      <c r="D280" s="9" t="n">
        <v>968</v>
      </c>
      <c r="E280" s="9" t="n">
        <v>1999</v>
      </c>
      <c r="F280" s="9" t="n">
        <v>24834</v>
      </c>
      <c r="G280" s="9" t="n">
        <v>19</v>
      </c>
      <c r="H280" s="9" t="n">
        <v>3501414.2</v>
      </c>
      <c r="I280" s="9" t="n">
        <v>17009</v>
      </c>
      <c r="J280" s="9" t="n">
        <v>460823</v>
      </c>
      <c r="K280" s="9" t="n">
        <v>286992</v>
      </c>
      <c r="L280" s="9" t="n">
        <v>1740</v>
      </c>
      <c r="M280" s="10" t="n">
        <f aca="false">IFERROR(D280/C280,0)</f>
        <v>0.299227202472952</v>
      </c>
      <c r="N280" s="10" t="n">
        <f aca="false">IFERROR(E280/C280,0)</f>
        <v>0.617928902627512</v>
      </c>
      <c r="O280" s="11" t="n">
        <f aca="false">IFERROR(F280/MAX(C280-D280,1),0)</f>
        <v>10.9545655050728</v>
      </c>
      <c r="P280" s="11" t="n">
        <f aca="false">IFERROR(F280/C280,0)</f>
        <v>7.67666151468315</v>
      </c>
      <c r="Q280" s="11" t="n">
        <f aca="false">IFERROR(H280/C280,0)</f>
        <v>1082.35369397218</v>
      </c>
      <c r="R280" s="10" t="n">
        <f aca="false">IFERROR(I280/F280,0)</f>
        <v>0.684907787710397</v>
      </c>
      <c r="S280" s="10" t="n">
        <f aca="false">IFERROR(K280/J280,0)</f>
        <v>0.622781414990137</v>
      </c>
      <c r="T280" s="12" t="s">
        <v>30</v>
      </c>
    </row>
    <row r="281" customFormat="false" ht="15" hidden="false" customHeight="false" outlineLevel="0" collapsed="false">
      <c r="A281" s="9" t="s">
        <v>314</v>
      </c>
      <c r="B281" s="9" t="s">
        <v>22</v>
      </c>
      <c r="C281" s="9" t="n">
        <v>2370</v>
      </c>
      <c r="D281" s="9" t="n">
        <v>907</v>
      </c>
      <c r="E281" s="9" t="n">
        <v>1574</v>
      </c>
      <c r="F281" s="9" t="n">
        <v>20142</v>
      </c>
      <c r="G281" s="9" t="n">
        <v>24</v>
      </c>
      <c r="H281" s="9" t="n">
        <v>3092359.4</v>
      </c>
      <c r="I281" s="9" t="n">
        <v>15475</v>
      </c>
      <c r="J281" s="9" t="n">
        <v>229315</v>
      </c>
      <c r="K281" s="9" t="n">
        <v>128361</v>
      </c>
      <c r="L281" s="9" t="n">
        <v>480</v>
      </c>
      <c r="M281" s="10" t="n">
        <f aca="false">IFERROR(D281/C281,0)</f>
        <v>0.382700421940928</v>
      </c>
      <c r="N281" s="10" t="n">
        <f aca="false">IFERROR(E281/C281,0)</f>
        <v>0.664135021097046</v>
      </c>
      <c r="O281" s="11" t="n">
        <f aca="false">IFERROR(F281/MAX(C281-D281,1),0)</f>
        <v>13.7676008202324</v>
      </c>
      <c r="P281" s="11" t="n">
        <f aca="false">IFERROR(F281/C281,0)</f>
        <v>8.49873417721519</v>
      </c>
      <c r="Q281" s="11" t="n">
        <f aca="false">IFERROR(H281/C281,0)</f>
        <v>1304.79299578059</v>
      </c>
      <c r="R281" s="10" t="n">
        <f aca="false">IFERROR(I281/F281,0)</f>
        <v>0.768295104756231</v>
      </c>
      <c r="S281" s="10" t="n">
        <f aca="false">IFERROR(K281/J281,0)</f>
        <v>0.559758410919478</v>
      </c>
      <c r="T281" s="12" t="s">
        <v>30</v>
      </c>
    </row>
    <row r="282" customFormat="false" ht="15" hidden="false" customHeight="false" outlineLevel="0" collapsed="false">
      <c r="A282" s="3" t="s">
        <v>315</v>
      </c>
      <c r="B282" s="3" t="s">
        <v>26</v>
      </c>
      <c r="C282" s="3" t="n">
        <v>2477</v>
      </c>
      <c r="D282" s="3" t="n">
        <v>196</v>
      </c>
      <c r="E282" s="3" t="n">
        <v>993</v>
      </c>
      <c r="F282" s="3" t="n">
        <v>3791</v>
      </c>
      <c r="G282" s="3" t="n">
        <v>7</v>
      </c>
      <c r="H282" s="3" t="n">
        <v>700470.4</v>
      </c>
      <c r="I282" s="3" t="n">
        <v>400</v>
      </c>
      <c r="J282" s="3" t="n">
        <v>282928</v>
      </c>
      <c r="K282" s="3" t="n">
        <v>41117</v>
      </c>
      <c r="L282" s="3" t="n">
        <v>645</v>
      </c>
      <c r="M282" s="4" t="n">
        <f aca="false">IFERROR(D282/C282,0)</f>
        <v>0.0791279773920065</v>
      </c>
      <c r="N282" s="4" t="n">
        <f aca="false">IFERROR(E282/C282,0)</f>
        <v>0.400888171174808</v>
      </c>
      <c r="O282" s="5" t="n">
        <f aca="false">IFERROR(F282/MAX(C282-D282,1),0)</f>
        <v>1.66199035510741</v>
      </c>
      <c r="P282" s="5" t="n">
        <f aca="false">IFERROR(F282/C282,0)</f>
        <v>1.53048041986274</v>
      </c>
      <c r="Q282" s="5" t="n">
        <f aca="false">IFERROR(H282/C282,0)</f>
        <v>282.789826402907</v>
      </c>
      <c r="R282" s="4" t="n">
        <f aca="false">IFERROR(I282/F282,0)</f>
        <v>0.105513057240834</v>
      </c>
      <c r="S282" s="4" t="n">
        <f aca="false">IFERROR(K282/J282,0)</f>
        <v>0.145326726234236</v>
      </c>
      <c r="T282" s="6" t="s">
        <v>23</v>
      </c>
    </row>
    <row r="283" customFormat="false" ht="15" hidden="false" customHeight="false" outlineLevel="0" collapsed="false">
      <c r="A283" s="3" t="s">
        <v>316</v>
      </c>
      <c r="B283" s="3" t="s">
        <v>26</v>
      </c>
      <c r="C283" s="3" t="n">
        <v>1542</v>
      </c>
      <c r="D283" s="3" t="n">
        <v>132</v>
      </c>
      <c r="E283" s="3" t="n">
        <v>386</v>
      </c>
      <c r="F283" s="3" t="n">
        <v>4102</v>
      </c>
      <c r="G283" s="3" t="n">
        <v>13</v>
      </c>
      <c r="H283" s="3" t="n">
        <v>563016.2</v>
      </c>
      <c r="I283" s="3" t="n">
        <v>865</v>
      </c>
      <c r="J283" s="3" t="n">
        <v>167259</v>
      </c>
      <c r="K283" s="3" t="n">
        <v>30453</v>
      </c>
      <c r="L283" s="3" t="n">
        <v>459</v>
      </c>
      <c r="M283" s="4" t="n">
        <f aca="false">IFERROR(D283/C283,0)</f>
        <v>0.0856031128404669</v>
      </c>
      <c r="N283" s="4" t="n">
        <f aca="false">IFERROR(E283/C283,0)</f>
        <v>0.250324254215305</v>
      </c>
      <c r="O283" s="5" t="n">
        <f aca="false">IFERROR(F283/MAX(C283-D283,1),0)</f>
        <v>2.90921985815603</v>
      </c>
      <c r="P283" s="5" t="n">
        <f aca="false">IFERROR(F283/C283,0)</f>
        <v>2.66018158236057</v>
      </c>
      <c r="Q283" s="5" t="n">
        <f aca="false">IFERROR(H283/C283,0)</f>
        <v>365.12075226978</v>
      </c>
      <c r="R283" s="4" t="n">
        <f aca="false">IFERROR(I283/F283,0)</f>
        <v>0.210872745002438</v>
      </c>
      <c r="S283" s="4" t="n">
        <f aca="false">IFERROR(K283/J283,0)</f>
        <v>0.182070919950496</v>
      </c>
      <c r="T283" s="6" t="s">
        <v>23</v>
      </c>
    </row>
    <row r="284" customFormat="false" ht="15" hidden="false" customHeight="false" outlineLevel="0" collapsed="false">
      <c r="A284" s="3" t="s">
        <v>317</v>
      </c>
      <c r="B284" s="3" t="s">
        <v>29</v>
      </c>
      <c r="C284" s="3" t="n">
        <v>965</v>
      </c>
      <c r="D284" s="3" t="n">
        <v>118</v>
      </c>
      <c r="E284" s="3" t="n">
        <v>303</v>
      </c>
      <c r="F284" s="3" t="n">
        <v>2340</v>
      </c>
      <c r="G284" s="3" t="n">
        <v>11</v>
      </c>
      <c r="H284" s="3" t="n">
        <v>193345.6</v>
      </c>
      <c r="I284" s="3" t="n">
        <v>317</v>
      </c>
      <c r="J284" s="3" t="n">
        <v>115118</v>
      </c>
      <c r="K284" s="3" t="n">
        <v>23857</v>
      </c>
      <c r="L284" s="3" t="n">
        <v>0</v>
      </c>
      <c r="M284" s="4" t="n">
        <f aca="false">IFERROR(D284/C284,0)</f>
        <v>0.122279792746114</v>
      </c>
      <c r="N284" s="4" t="n">
        <f aca="false">IFERROR(E284/C284,0)</f>
        <v>0.3139896373057</v>
      </c>
      <c r="O284" s="5" t="n">
        <f aca="false">IFERROR(F284/MAX(C284-D284,1),0)</f>
        <v>2.76269185360094</v>
      </c>
      <c r="P284" s="5" t="n">
        <f aca="false">IFERROR(F284/C284,0)</f>
        <v>2.42487046632124</v>
      </c>
      <c r="Q284" s="5" t="n">
        <f aca="false">IFERROR(H284/C284,0)</f>
        <v>200.358134715026</v>
      </c>
      <c r="R284" s="4" t="n">
        <f aca="false">IFERROR(I284/F284,0)</f>
        <v>0.135470085470085</v>
      </c>
      <c r="S284" s="4" t="n">
        <f aca="false">IFERROR(K284/J284,0)</f>
        <v>0.207239528136347</v>
      </c>
      <c r="T284" s="6" t="s">
        <v>23</v>
      </c>
    </row>
    <row r="285" customFormat="false" ht="15" hidden="false" customHeight="false" outlineLevel="0" collapsed="false">
      <c r="A285" s="3" t="s">
        <v>318</v>
      </c>
      <c r="B285" s="3" t="s">
        <v>22</v>
      </c>
      <c r="C285" s="3" t="n">
        <v>302</v>
      </c>
      <c r="D285" s="3" t="n">
        <v>32</v>
      </c>
      <c r="E285" s="3" t="n">
        <v>109</v>
      </c>
      <c r="F285" s="3" t="n">
        <v>835</v>
      </c>
      <c r="G285" s="3" t="n">
        <v>10</v>
      </c>
      <c r="H285" s="3" t="n">
        <v>106107.9</v>
      </c>
      <c r="I285" s="3" t="n">
        <v>172</v>
      </c>
      <c r="J285" s="3" t="n">
        <v>30733</v>
      </c>
      <c r="K285" s="3" t="n">
        <v>6502</v>
      </c>
      <c r="L285" s="3" t="n">
        <v>70</v>
      </c>
      <c r="M285" s="4" t="n">
        <f aca="false">IFERROR(D285/C285,0)</f>
        <v>0.105960264900662</v>
      </c>
      <c r="N285" s="4" t="n">
        <f aca="false">IFERROR(E285/C285,0)</f>
        <v>0.360927152317881</v>
      </c>
      <c r="O285" s="5" t="n">
        <f aca="false">IFERROR(F285/MAX(C285-D285,1),0)</f>
        <v>3.09259259259259</v>
      </c>
      <c r="P285" s="5" t="n">
        <f aca="false">IFERROR(F285/C285,0)</f>
        <v>2.76490066225166</v>
      </c>
      <c r="Q285" s="5" t="n">
        <f aca="false">IFERROR(H285/C285,0)</f>
        <v>351.350662251656</v>
      </c>
      <c r="R285" s="4" t="n">
        <f aca="false">IFERROR(I285/F285,0)</f>
        <v>0.205988023952096</v>
      </c>
      <c r="S285" s="4" t="n">
        <f aca="false">IFERROR(K285/J285,0)</f>
        <v>0.21156411674747</v>
      </c>
      <c r="T285" s="6" t="s">
        <v>23</v>
      </c>
    </row>
    <row r="286" customFormat="false" ht="15" hidden="false" customHeight="false" outlineLevel="0" collapsed="false">
      <c r="A286" s="9" t="s">
        <v>319</v>
      </c>
      <c r="B286" s="9" t="s">
        <v>29</v>
      </c>
      <c r="C286" s="9" t="n">
        <v>3954</v>
      </c>
      <c r="D286" s="9" t="n">
        <v>1834</v>
      </c>
      <c r="E286" s="9" t="n">
        <v>2848</v>
      </c>
      <c r="F286" s="9" t="n">
        <v>38266</v>
      </c>
      <c r="G286" s="9" t="n">
        <v>26</v>
      </c>
      <c r="H286" s="9" t="n">
        <v>3417272.7</v>
      </c>
      <c r="I286" s="9" t="n">
        <v>30312</v>
      </c>
      <c r="J286" s="9" t="n">
        <v>475935</v>
      </c>
      <c r="K286" s="9" t="n">
        <v>364499</v>
      </c>
      <c r="L286" s="9" t="n">
        <v>0</v>
      </c>
      <c r="M286" s="10" t="n">
        <f aca="false">IFERROR(D286/C286,0)</f>
        <v>0.463834092058675</v>
      </c>
      <c r="N286" s="10" t="n">
        <f aca="false">IFERROR(E286/C286,0)</f>
        <v>0.720283257460799</v>
      </c>
      <c r="O286" s="11" t="n">
        <f aca="false">IFERROR(F286/MAX(C286-D286,1),0)</f>
        <v>18.05</v>
      </c>
      <c r="P286" s="11" t="n">
        <f aca="false">IFERROR(F286/C286,0)</f>
        <v>9.67779463834092</v>
      </c>
      <c r="Q286" s="11" t="n">
        <f aca="false">IFERROR(H286/C286,0)</f>
        <v>864.257132018209</v>
      </c>
      <c r="R286" s="10" t="n">
        <f aca="false">IFERROR(I286/F286,0)</f>
        <v>0.792139235875189</v>
      </c>
      <c r="S286" s="10" t="n">
        <f aca="false">IFERROR(K286/J286,0)</f>
        <v>0.765858783237207</v>
      </c>
      <c r="T286" s="12" t="s">
        <v>30</v>
      </c>
    </row>
    <row r="287" customFormat="false" ht="15" hidden="false" customHeight="false" outlineLevel="0" collapsed="false">
      <c r="A287" s="3" t="s">
        <v>320</v>
      </c>
      <c r="B287" s="3" t="s">
        <v>22</v>
      </c>
      <c r="C287" s="3" t="n">
        <v>889</v>
      </c>
      <c r="D287" s="3" t="n">
        <v>69</v>
      </c>
      <c r="E287" s="3" t="n">
        <v>377</v>
      </c>
      <c r="F287" s="3" t="n">
        <v>1948</v>
      </c>
      <c r="G287" s="3" t="n">
        <v>9</v>
      </c>
      <c r="H287" s="3" t="n">
        <v>247068.4</v>
      </c>
      <c r="I287" s="3" t="n">
        <v>246</v>
      </c>
      <c r="J287" s="3" t="n">
        <v>71062</v>
      </c>
      <c r="K287" s="3" t="n">
        <v>13206</v>
      </c>
      <c r="L287" s="3" t="n">
        <v>168</v>
      </c>
      <c r="M287" s="4" t="n">
        <f aca="false">IFERROR(D287/C287,0)</f>
        <v>0.077615298087739</v>
      </c>
      <c r="N287" s="4" t="n">
        <f aca="false">IFERROR(E287/C287,0)</f>
        <v>0.424071991001125</v>
      </c>
      <c r="O287" s="5" t="n">
        <f aca="false">IFERROR(F287/MAX(C287-D287,1),0)</f>
        <v>2.37560975609756</v>
      </c>
      <c r="P287" s="5" t="n">
        <f aca="false">IFERROR(F287/C287,0)</f>
        <v>2.19122609673791</v>
      </c>
      <c r="Q287" s="5" t="n">
        <f aca="false">IFERROR(H287/C287,0)</f>
        <v>277.917210348706</v>
      </c>
      <c r="R287" s="4" t="n">
        <f aca="false">IFERROR(I287/F287,0)</f>
        <v>0.126283367556468</v>
      </c>
      <c r="S287" s="4" t="n">
        <f aca="false">IFERROR(K287/J287,0)</f>
        <v>0.185837719174805</v>
      </c>
      <c r="T287" s="6" t="s">
        <v>23</v>
      </c>
    </row>
    <row r="288" customFormat="false" ht="15" hidden="false" customHeight="false" outlineLevel="0" collapsed="false">
      <c r="A288" s="3" t="s">
        <v>321</v>
      </c>
      <c r="B288" s="3" t="s">
        <v>26</v>
      </c>
      <c r="C288" s="3" t="n">
        <v>1039</v>
      </c>
      <c r="D288" s="3" t="n">
        <v>169</v>
      </c>
      <c r="E288" s="3" t="n">
        <v>533</v>
      </c>
      <c r="F288" s="3" t="n">
        <v>3478</v>
      </c>
      <c r="G288" s="3" t="n">
        <v>15</v>
      </c>
      <c r="H288" s="3" t="n">
        <v>519002.7</v>
      </c>
      <c r="I288" s="3" t="n">
        <v>837</v>
      </c>
      <c r="J288" s="3" t="n">
        <v>163165</v>
      </c>
      <c r="K288" s="3" t="n">
        <v>32970</v>
      </c>
      <c r="L288" s="3" t="n">
        <v>279</v>
      </c>
      <c r="M288" s="4" t="n">
        <f aca="false">IFERROR(D288/C288,0)</f>
        <v>0.162656400384986</v>
      </c>
      <c r="N288" s="4" t="n">
        <f aca="false">IFERROR(E288/C288,0)</f>
        <v>0.512993262752647</v>
      </c>
      <c r="O288" s="5" t="n">
        <f aca="false">IFERROR(F288/MAX(C288-D288,1),0)</f>
        <v>3.99770114942529</v>
      </c>
      <c r="P288" s="5" t="n">
        <f aca="false">IFERROR(F288/C288,0)</f>
        <v>3.34744947064485</v>
      </c>
      <c r="Q288" s="5" t="n">
        <f aca="false">IFERROR(H288/C288,0)</f>
        <v>499.521366698749</v>
      </c>
      <c r="R288" s="4" t="n">
        <f aca="false">IFERROR(I288/F288,0)</f>
        <v>0.240655549166187</v>
      </c>
      <c r="S288" s="4" t="n">
        <f aca="false">IFERROR(K288/J288,0)</f>
        <v>0.202065393926394</v>
      </c>
      <c r="T288" s="6" t="s">
        <v>23</v>
      </c>
    </row>
    <row r="289" customFormat="false" ht="15" hidden="false" customHeight="false" outlineLevel="0" collapsed="false">
      <c r="A289" s="3" t="s">
        <v>322</v>
      </c>
      <c r="B289" s="3" t="s">
        <v>26</v>
      </c>
      <c r="C289" s="3" t="n">
        <v>497</v>
      </c>
      <c r="D289" s="3" t="n">
        <v>56</v>
      </c>
      <c r="E289" s="3" t="n">
        <v>207</v>
      </c>
      <c r="F289" s="3" t="n">
        <v>1482</v>
      </c>
      <c r="G289" s="3" t="n">
        <v>8</v>
      </c>
      <c r="H289" s="3" t="n">
        <v>240882.8</v>
      </c>
      <c r="I289" s="3" t="n">
        <v>280</v>
      </c>
      <c r="J289" s="3" t="n">
        <v>83308</v>
      </c>
      <c r="K289" s="3" t="n">
        <v>18799</v>
      </c>
      <c r="L289" s="3" t="n">
        <v>209</v>
      </c>
      <c r="M289" s="4" t="n">
        <f aca="false">IFERROR(D289/C289,0)</f>
        <v>0.112676056338028</v>
      </c>
      <c r="N289" s="4" t="n">
        <f aca="false">IFERROR(E289/C289,0)</f>
        <v>0.416498993963783</v>
      </c>
      <c r="O289" s="5" t="n">
        <f aca="false">IFERROR(F289/MAX(C289-D289,1),0)</f>
        <v>3.36054421768708</v>
      </c>
      <c r="P289" s="5" t="n">
        <f aca="false">IFERROR(F289/C289,0)</f>
        <v>2.98189134808853</v>
      </c>
      <c r="Q289" s="5" t="n">
        <f aca="false">IFERROR(H289/C289,0)</f>
        <v>484.673641851107</v>
      </c>
      <c r="R289" s="4" t="n">
        <f aca="false">IFERROR(I289/F289,0)</f>
        <v>0.188933873144399</v>
      </c>
      <c r="S289" s="4" t="n">
        <f aca="false">IFERROR(K289/J289,0)</f>
        <v>0.22565659960628</v>
      </c>
      <c r="T289" s="6" t="s">
        <v>23</v>
      </c>
    </row>
    <row r="290" customFormat="false" ht="15" hidden="false" customHeight="false" outlineLevel="0" collapsed="false">
      <c r="A290" s="3" t="s">
        <v>323</v>
      </c>
      <c r="B290" s="3" t="s">
        <v>29</v>
      </c>
      <c r="C290" s="3" t="n">
        <v>1415</v>
      </c>
      <c r="D290" s="3" t="n">
        <v>159</v>
      </c>
      <c r="E290" s="3" t="n">
        <v>459</v>
      </c>
      <c r="F290" s="3" t="n">
        <v>4843</v>
      </c>
      <c r="G290" s="3" t="n">
        <v>15</v>
      </c>
      <c r="H290" s="3" t="n">
        <v>503261.9</v>
      </c>
      <c r="I290" s="3" t="n">
        <v>531</v>
      </c>
      <c r="J290" s="3" t="n">
        <v>116830</v>
      </c>
      <c r="K290" s="3" t="n">
        <v>20056</v>
      </c>
      <c r="L290" s="3" t="n">
        <v>0</v>
      </c>
      <c r="M290" s="4" t="n">
        <f aca="false">IFERROR(D290/C290,0)</f>
        <v>0.112367491166078</v>
      </c>
      <c r="N290" s="4" t="n">
        <f aca="false">IFERROR(E290/C290,0)</f>
        <v>0.324381625441696</v>
      </c>
      <c r="O290" s="5" t="n">
        <f aca="false">IFERROR(F290/MAX(C290-D290,1),0)</f>
        <v>3.85589171974522</v>
      </c>
      <c r="P290" s="5" t="n">
        <f aca="false">IFERROR(F290/C290,0)</f>
        <v>3.4226148409894</v>
      </c>
      <c r="Q290" s="5" t="n">
        <f aca="false">IFERROR(H290/C290,0)</f>
        <v>355.662120141343</v>
      </c>
      <c r="R290" s="4" t="n">
        <f aca="false">IFERROR(I290/F290,0)</f>
        <v>0.10964278339872</v>
      </c>
      <c r="S290" s="4" t="n">
        <f aca="false">IFERROR(K290/J290,0)</f>
        <v>0.171668235898314</v>
      </c>
      <c r="T290" s="6" t="s">
        <v>23</v>
      </c>
    </row>
    <row r="291" customFormat="false" ht="15" hidden="false" customHeight="false" outlineLevel="0" collapsed="false">
      <c r="A291" s="3" t="s">
        <v>324</v>
      </c>
      <c r="B291" s="3" t="s">
        <v>26</v>
      </c>
      <c r="C291" s="3" t="n">
        <v>1632</v>
      </c>
      <c r="D291" s="3" t="n">
        <v>103</v>
      </c>
      <c r="E291" s="3" t="n">
        <v>402</v>
      </c>
      <c r="F291" s="3" t="n">
        <v>1285</v>
      </c>
      <c r="G291" s="3" t="n">
        <v>6</v>
      </c>
      <c r="H291" s="3" t="n">
        <v>501613.6</v>
      </c>
      <c r="I291" s="3" t="n">
        <v>212</v>
      </c>
      <c r="J291" s="3" t="n">
        <v>159921</v>
      </c>
      <c r="K291" s="3" t="n">
        <v>14300</v>
      </c>
      <c r="L291" s="3" t="n">
        <v>214</v>
      </c>
      <c r="M291" s="4" t="n">
        <f aca="false">IFERROR(D291/C291,0)</f>
        <v>0.0631127450980392</v>
      </c>
      <c r="N291" s="4" t="n">
        <f aca="false">IFERROR(E291/C291,0)</f>
        <v>0.246323529411765</v>
      </c>
      <c r="O291" s="5" t="n">
        <f aca="false">IFERROR(F291/MAX(C291-D291,1),0)</f>
        <v>0.840418574231524</v>
      </c>
      <c r="P291" s="5" t="n">
        <f aca="false">IFERROR(F291/C291,0)</f>
        <v>0.787377450980392</v>
      </c>
      <c r="Q291" s="5" t="n">
        <f aca="false">IFERROR(H291/C291,0)</f>
        <v>307.361274509804</v>
      </c>
      <c r="R291" s="4" t="n">
        <f aca="false">IFERROR(I291/F291,0)</f>
        <v>0.164980544747082</v>
      </c>
      <c r="S291" s="4" t="n">
        <f aca="false">IFERROR(K291/J291,0)</f>
        <v>0.0894191507056609</v>
      </c>
      <c r="T291" s="6" t="s">
        <v>23</v>
      </c>
    </row>
    <row r="292" customFormat="false" ht="15" hidden="false" customHeight="false" outlineLevel="0" collapsed="false">
      <c r="A292" s="3" t="s">
        <v>325</v>
      </c>
      <c r="B292" s="3" t="s">
        <v>22</v>
      </c>
      <c r="C292" s="3" t="n">
        <v>390</v>
      </c>
      <c r="D292" s="3" t="n">
        <v>57</v>
      </c>
      <c r="E292" s="3" t="n">
        <v>156</v>
      </c>
      <c r="F292" s="3" t="n">
        <v>1098</v>
      </c>
      <c r="G292" s="3" t="n">
        <v>9</v>
      </c>
      <c r="H292" s="3" t="n">
        <v>154345.8</v>
      </c>
      <c r="I292" s="3" t="n">
        <v>152</v>
      </c>
      <c r="J292" s="3" t="n">
        <v>40661</v>
      </c>
      <c r="K292" s="3" t="n">
        <v>10071</v>
      </c>
      <c r="L292" s="3" t="n">
        <v>118</v>
      </c>
      <c r="M292" s="4" t="n">
        <f aca="false">IFERROR(D292/C292,0)</f>
        <v>0.146153846153846</v>
      </c>
      <c r="N292" s="4" t="n">
        <f aca="false">IFERROR(E292/C292,0)</f>
        <v>0.4</v>
      </c>
      <c r="O292" s="5" t="n">
        <f aca="false">IFERROR(F292/MAX(C292-D292,1),0)</f>
        <v>3.2972972972973</v>
      </c>
      <c r="P292" s="5" t="n">
        <f aca="false">IFERROR(F292/C292,0)</f>
        <v>2.81538461538462</v>
      </c>
      <c r="Q292" s="5" t="n">
        <f aca="false">IFERROR(H292/C292,0)</f>
        <v>395.758461538462</v>
      </c>
      <c r="R292" s="4" t="n">
        <f aca="false">IFERROR(I292/F292,0)</f>
        <v>0.138433515482696</v>
      </c>
      <c r="S292" s="4" t="n">
        <f aca="false">IFERROR(K292/J292,0)</f>
        <v>0.247682054056713</v>
      </c>
      <c r="T292" s="6" t="s">
        <v>23</v>
      </c>
    </row>
    <row r="293" customFormat="false" ht="15" hidden="false" customHeight="false" outlineLevel="0" collapsed="false">
      <c r="A293" s="3" t="s">
        <v>326</v>
      </c>
      <c r="B293" s="3" t="s">
        <v>22</v>
      </c>
      <c r="C293" s="3" t="n">
        <v>2735</v>
      </c>
      <c r="D293" s="3" t="n">
        <v>408</v>
      </c>
      <c r="E293" s="3" t="n">
        <v>1215</v>
      </c>
      <c r="F293" s="3" t="n">
        <v>12763</v>
      </c>
      <c r="G293" s="3" t="n">
        <v>22</v>
      </c>
      <c r="H293" s="3" t="n">
        <v>1438557.1</v>
      </c>
      <c r="I293" s="3" t="n">
        <v>3153</v>
      </c>
      <c r="J293" s="3" t="n">
        <v>486408</v>
      </c>
      <c r="K293" s="3" t="n">
        <v>123464</v>
      </c>
      <c r="L293" s="3" t="n">
        <v>545</v>
      </c>
      <c r="M293" s="4" t="n">
        <f aca="false">IFERROR(D293/C293,0)</f>
        <v>0.149177330895795</v>
      </c>
      <c r="N293" s="4" t="n">
        <f aca="false">IFERROR(E293/C293,0)</f>
        <v>0.444241316270567</v>
      </c>
      <c r="O293" s="5" t="n">
        <f aca="false">IFERROR(F293/MAX(C293-D293,1),0)</f>
        <v>5.48474430597336</v>
      </c>
      <c r="P293" s="5" t="n">
        <f aca="false">IFERROR(F293/C293,0)</f>
        <v>4.66654478976234</v>
      </c>
      <c r="Q293" s="5" t="n">
        <f aca="false">IFERROR(H293/C293,0)</f>
        <v>525.980658135283</v>
      </c>
      <c r="R293" s="4" t="n">
        <f aca="false">IFERROR(I293/F293,0)</f>
        <v>0.247042231450286</v>
      </c>
      <c r="S293" s="4" t="n">
        <f aca="false">IFERROR(K293/J293,0)</f>
        <v>0.253828062038453</v>
      </c>
      <c r="T293" s="6" t="s">
        <v>23</v>
      </c>
    </row>
    <row r="294" customFormat="false" ht="15" hidden="false" customHeight="false" outlineLevel="0" collapsed="false">
      <c r="A294" s="3" t="s">
        <v>327</v>
      </c>
      <c r="B294" s="3" t="s">
        <v>22</v>
      </c>
      <c r="C294" s="3" t="n">
        <v>1939</v>
      </c>
      <c r="D294" s="3" t="n">
        <v>281</v>
      </c>
      <c r="E294" s="3" t="n">
        <v>803</v>
      </c>
      <c r="F294" s="3" t="n">
        <v>5785</v>
      </c>
      <c r="G294" s="3" t="n">
        <v>12</v>
      </c>
      <c r="H294" s="3" t="n">
        <v>1130110.7</v>
      </c>
      <c r="I294" s="3" t="n">
        <v>788</v>
      </c>
      <c r="J294" s="3" t="n">
        <v>194454</v>
      </c>
      <c r="K294" s="3" t="n">
        <v>30039</v>
      </c>
      <c r="L294" s="3" t="n">
        <v>893</v>
      </c>
      <c r="M294" s="4" t="n">
        <f aca="false">IFERROR(D294/C294,0)</f>
        <v>0.144920061887571</v>
      </c>
      <c r="N294" s="4" t="n">
        <f aca="false">IFERROR(E294/C294,0)</f>
        <v>0.414130995358432</v>
      </c>
      <c r="O294" s="5" t="n">
        <f aca="false">IFERROR(F294/MAX(C294-D294,1),0)</f>
        <v>3.4891435464415</v>
      </c>
      <c r="P294" s="5" t="n">
        <f aca="false">IFERROR(F294/C294,0)</f>
        <v>2.98349664775658</v>
      </c>
      <c r="Q294" s="5" t="n">
        <f aca="false">IFERROR(H294/C294,0)</f>
        <v>582.831717380093</v>
      </c>
      <c r="R294" s="4" t="n">
        <f aca="false">IFERROR(I294/F294,0)</f>
        <v>0.136214347450303</v>
      </c>
      <c r="S294" s="4" t="n">
        <f aca="false">IFERROR(K294/J294,0)</f>
        <v>0.154478694189886</v>
      </c>
      <c r="T294" s="6" t="s">
        <v>23</v>
      </c>
    </row>
    <row r="295" customFormat="false" ht="15" hidden="false" customHeight="false" outlineLevel="0" collapsed="false">
      <c r="A295" s="3" t="s">
        <v>328</v>
      </c>
      <c r="B295" s="3" t="s">
        <v>26</v>
      </c>
      <c r="C295" s="3" t="n">
        <v>1962</v>
      </c>
      <c r="D295" s="3" t="n">
        <v>192</v>
      </c>
      <c r="E295" s="3" t="n">
        <v>564</v>
      </c>
      <c r="F295" s="3" t="n">
        <v>4932</v>
      </c>
      <c r="G295" s="3" t="n">
        <v>11</v>
      </c>
      <c r="H295" s="3" t="n">
        <v>597640.9</v>
      </c>
      <c r="I295" s="3" t="n">
        <v>1045</v>
      </c>
      <c r="J295" s="3" t="n">
        <v>216891</v>
      </c>
      <c r="K295" s="3" t="n">
        <v>34055</v>
      </c>
      <c r="L295" s="3" t="n">
        <v>556</v>
      </c>
      <c r="M295" s="4" t="n">
        <f aca="false">IFERROR(D295/C295,0)</f>
        <v>0.0978593272171254</v>
      </c>
      <c r="N295" s="4" t="n">
        <f aca="false">IFERROR(E295/C295,0)</f>
        <v>0.287461773700306</v>
      </c>
      <c r="O295" s="5" t="n">
        <f aca="false">IFERROR(F295/MAX(C295-D295,1),0)</f>
        <v>2.7864406779661</v>
      </c>
      <c r="P295" s="5" t="n">
        <f aca="false">IFERROR(F295/C295,0)</f>
        <v>2.51376146788991</v>
      </c>
      <c r="Q295" s="5" t="n">
        <f aca="false">IFERROR(H295/C295,0)</f>
        <v>304.608002038736</v>
      </c>
      <c r="R295" s="4" t="n">
        <f aca="false">IFERROR(I295/F295,0)</f>
        <v>0.211881589618816</v>
      </c>
      <c r="S295" s="4" t="n">
        <f aca="false">IFERROR(K295/J295,0)</f>
        <v>0.157014352831607</v>
      </c>
      <c r="T295" s="6" t="s">
        <v>23</v>
      </c>
    </row>
    <row r="296" customFormat="false" ht="15" hidden="false" customHeight="false" outlineLevel="0" collapsed="false">
      <c r="A296" s="9" t="s">
        <v>329</v>
      </c>
      <c r="B296" s="9" t="s">
        <v>29</v>
      </c>
      <c r="C296" s="9" t="n">
        <v>1283</v>
      </c>
      <c r="D296" s="9" t="n">
        <v>294</v>
      </c>
      <c r="E296" s="9" t="n">
        <v>594</v>
      </c>
      <c r="F296" s="9" t="n">
        <v>8743</v>
      </c>
      <c r="G296" s="9" t="n">
        <v>21</v>
      </c>
      <c r="H296" s="9" t="n">
        <v>1001803.4</v>
      </c>
      <c r="I296" s="9" t="n">
        <v>7288</v>
      </c>
      <c r="J296" s="9" t="n">
        <v>118937</v>
      </c>
      <c r="K296" s="9" t="n">
        <v>105221</v>
      </c>
      <c r="L296" s="9" t="n">
        <v>0</v>
      </c>
      <c r="M296" s="10" t="n">
        <f aca="false">IFERROR(D296/C296,0)</f>
        <v>0.229150428682775</v>
      </c>
      <c r="N296" s="10" t="n">
        <f aca="false">IFERROR(E296/C296,0)</f>
        <v>0.462977396726422</v>
      </c>
      <c r="O296" s="11" t="n">
        <f aca="false">IFERROR(F296/MAX(C296-D296,1),0)</f>
        <v>8.84024266936299</v>
      </c>
      <c r="P296" s="11" t="n">
        <f aca="false">IFERROR(F296/C296,0)</f>
        <v>6.81449727201871</v>
      </c>
      <c r="Q296" s="11" t="n">
        <f aca="false">IFERROR(H296/C296,0)</f>
        <v>780.828838659392</v>
      </c>
      <c r="R296" s="10" t="n">
        <f aca="false">IFERROR(I296/F296,0)</f>
        <v>0.833581150634794</v>
      </c>
      <c r="S296" s="10" t="n">
        <f aca="false">IFERROR(K296/J296,0)</f>
        <v>0.88467844320943</v>
      </c>
      <c r="T296" s="12" t="s">
        <v>30</v>
      </c>
    </row>
    <row r="297" customFormat="false" ht="15" hidden="false" customHeight="false" outlineLevel="0" collapsed="false">
      <c r="A297" s="9" t="s">
        <v>330</v>
      </c>
      <c r="B297" s="9" t="s">
        <v>26</v>
      </c>
      <c r="C297" s="9" t="n">
        <v>412</v>
      </c>
      <c r="D297" s="9" t="n">
        <v>110</v>
      </c>
      <c r="E297" s="9" t="n">
        <v>184</v>
      </c>
      <c r="F297" s="9" t="n">
        <v>3126</v>
      </c>
      <c r="G297" s="9" t="n">
        <v>26</v>
      </c>
      <c r="H297" s="9" t="n">
        <v>397936.4</v>
      </c>
      <c r="I297" s="9" t="n">
        <v>2620</v>
      </c>
      <c r="J297" s="9" t="n">
        <v>40923</v>
      </c>
      <c r="K297" s="9" t="n">
        <v>18986</v>
      </c>
      <c r="L297" s="9" t="n">
        <v>108</v>
      </c>
      <c r="M297" s="10" t="n">
        <f aca="false">IFERROR(D297/C297,0)</f>
        <v>0.266990291262136</v>
      </c>
      <c r="N297" s="10" t="n">
        <f aca="false">IFERROR(E297/C297,0)</f>
        <v>0.446601941747573</v>
      </c>
      <c r="O297" s="11" t="n">
        <f aca="false">IFERROR(F297/MAX(C297-D297,1),0)</f>
        <v>10.3509933774834</v>
      </c>
      <c r="P297" s="11" t="n">
        <f aca="false">IFERROR(F297/C297,0)</f>
        <v>7.5873786407767</v>
      </c>
      <c r="Q297" s="11" t="n">
        <f aca="false">IFERROR(H297/C297,0)</f>
        <v>965.865048543689</v>
      </c>
      <c r="R297" s="10" t="n">
        <f aca="false">IFERROR(I297/F297,0)</f>
        <v>0.838131797824696</v>
      </c>
      <c r="S297" s="10" t="n">
        <f aca="false">IFERROR(K297/J297,0)</f>
        <v>0.463944481098649</v>
      </c>
      <c r="T297" s="12" t="s">
        <v>30</v>
      </c>
    </row>
    <row r="298" customFormat="false" ht="15" hidden="false" customHeight="false" outlineLevel="0" collapsed="false">
      <c r="A298" s="3" t="s">
        <v>331</v>
      </c>
      <c r="B298" s="3" t="s">
        <v>22</v>
      </c>
      <c r="C298" s="3" t="n">
        <v>3583</v>
      </c>
      <c r="D298" s="3" t="n">
        <v>503</v>
      </c>
      <c r="E298" s="3" t="n">
        <v>1420</v>
      </c>
      <c r="F298" s="3" t="n">
        <v>9113</v>
      </c>
      <c r="G298" s="3" t="n">
        <v>13</v>
      </c>
      <c r="H298" s="3" t="n">
        <v>1680512.3</v>
      </c>
      <c r="I298" s="3" t="n">
        <v>1540</v>
      </c>
      <c r="J298" s="3" t="n">
        <v>605842</v>
      </c>
      <c r="K298" s="3" t="n">
        <v>118574</v>
      </c>
      <c r="L298" s="3" t="n">
        <v>1096</v>
      </c>
      <c r="M298" s="4" t="n">
        <f aca="false">IFERROR(D298/C298,0)</f>
        <v>0.140385152107173</v>
      </c>
      <c r="N298" s="4" t="n">
        <f aca="false">IFERROR(E298/C298,0)</f>
        <v>0.396315936366174</v>
      </c>
      <c r="O298" s="5" t="n">
        <f aca="false">IFERROR(F298/MAX(C298-D298,1),0)</f>
        <v>2.95876623376623</v>
      </c>
      <c r="P298" s="5" t="n">
        <f aca="false">IFERROR(F298/C298,0)</f>
        <v>2.54339938598939</v>
      </c>
      <c r="Q298" s="5" t="n">
        <f aca="false">IFERROR(H298/C298,0)</f>
        <v>469.023806865755</v>
      </c>
      <c r="R298" s="4" t="n">
        <f aca="false">IFERROR(I298/F298,0)</f>
        <v>0.168989355865247</v>
      </c>
      <c r="S298" s="4" t="n">
        <f aca="false">IFERROR(K298/J298,0)</f>
        <v>0.195717695372721</v>
      </c>
      <c r="T298" s="6" t="s">
        <v>23</v>
      </c>
    </row>
    <row r="299" customFormat="false" ht="15" hidden="false" customHeight="false" outlineLevel="0" collapsed="false">
      <c r="A299" s="3" t="s">
        <v>332</v>
      </c>
      <c r="B299" s="3" t="s">
        <v>22</v>
      </c>
      <c r="C299" s="3" t="n">
        <v>1496</v>
      </c>
      <c r="D299" s="3" t="n">
        <v>219</v>
      </c>
      <c r="E299" s="3" t="n">
        <v>587</v>
      </c>
      <c r="F299" s="3" t="n">
        <v>4530</v>
      </c>
      <c r="G299" s="3" t="n">
        <v>10</v>
      </c>
      <c r="H299" s="3" t="n">
        <v>449004.4</v>
      </c>
      <c r="I299" s="3" t="n">
        <v>1174</v>
      </c>
      <c r="J299" s="3" t="n">
        <v>210891</v>
      </c>
      <c r="K299" s="3" t="n">
        <v>38589</v>
      </c>
      <c r="L299" s="3" t="n">
        <v>298</v>
      </c>
      <c r="M299" s="4" t="n">
        <f aca="false">IFERROR(D299/C299,0)</f>
        <v>0.146390374331551</v>
      </c>
      <c r="N299" s="4" t="n">
        <f aca="false">IFERROR(E299/C299,0)</f>
        <v>0.392379679144385</v>
      </c>
      <c r="O299" s="5" t="n">
        <f aca="false">IFERROR(F299/MAX(C299-D299,1),0)</f>
        <v>3.54737666405638</v>
      </c>
      <c r="P299" s="5" t="n">
        <f aca="false">IFERROR(F299/C299,0)</f>
        <v>3.02807486631016</v>
      </c>
      <c r="Q299" s="5" t="n">
        <f aca="false">IFERROR(H299/C299,0)</f>
        <v>300.136631016043</v>
      </c>
      <c r="R299" s="4" t="n">
        <f aca="false">IFERROR(I299/F299,0)</f>
        <v>0.25916114790287</v>
      </c>
      <c r="S299" s="4" t="n">
        <f aca="false">IFERROR(K299/J299,0)</f>
        <v>0.182980781541175</v>
      </c>
      <c r="T299" s="6" t="s">
        <v>23</v>
      </c>
    </row>
    <row r="300" customFormat="false" ht="15" hidden="false" customHeight="false" outlineLevel="0" collapsed="false">
      <c r="A300" s="3" t="s">
        <v>333</v>
      </c>
      <c r="B300" s="3" t="s">
        <v>26</v>
      </c>
      <c r="C300" s="3" t="n">
        <v>255</v>
      </c>
      <c r="D300" s="3" t="n">
        <v>29</v>
      </c>
      <c r="E300" s="3" t="n">
        <v>115</v>
      </c>
      <c r="F300" s="3" t="n">
        <v>625</v>
      </c>
      <c r="G300" s="3" t="n">
        <v>8</v>
      </c>
      <c r="H300" s="3" t="n">
        <v>92442</v>
      </c>
      <c r="I300" s="3" t="n">
        <v>85</v>
      </c>
      <c r="J300" s="3" t="n">
        <v>44135</v>
      </c>
      <c r="K300" s="3" t="n">
        <v>7278</v>
      </c>
      <c r="L300" s="3" t="n">
        <v>35</v>
      </c>
      <c r="M300" s="4" t="n">
        <f aca="false">IFERROR(D300/C300,0)</f>
        <v>0.113725490196078</v>
      </c>
      <c r="N300" s="4" t="n">
        <f aca="false">IFERROR(E300/C300,0)</f>
        <v>0.450980392156863</v>
      </c>
      <c r="O300" s="5" t="n">
        <f aca="false">IFERROR(F300/MAX(C300-D300,1),0)</f>
        <v>2.76548672566372</v>
      </c>
      <c r="P300" s="5" t="n">
        <f aca="false">IFERROR(F300/C300,0)</f>
        <v>2.45098039215686</v>
      </c>
      <c r="Q300" s="5" t="n">
        <f aca="false">IFERROR(H300/C300,0)</f>
        <v>362.517647058824</v>
      </c>
      <c r="R300" s="4" t="n">
        <f aca="false">IFERROR(I300/F300,0)</f>
        <v>0.136</v>
      </c>
      <c r="S300" s="4" t="n">
        <f aca="false">IFERROR(K300/J300,0)</f>
        <v>0.164903138099014</v>
      </c>
      <c r="T300" s="6" t="s">
        <v>23</v>
      </c>
    </row>
    <row r="301" customFormat="false" ht="15" hidden="false" customHeight="false" outlineLevel="0" collapsed="false">
      <c r="A301" s="3" t="s">
        <v>334</v>
      </c>
      <c r="B301" s="3" t="s">
        <v>26</v>
      </c>
      <c r="C301" s="3" t="n">
        <v>877</v>
      </c>
      <c r="D301" s="3" t="n">
        <v>62</v>
      </c>
      <c r="E301" s="3" t="n">
        <v>252</v>
      </c>
      <c r="F301" s="3" t="n">
        <v>2496</v>
      </c>
      <c r="G301" s="3" t="n">
        <v>8</v>
      </c>
      <c r="H301" s="3" t="n">
        <v>365540.1</v>
      </c>
      <c r="I301" s="3" t="n">
        <v>180</v>
      </c>
      <c r="J301" s="3" t="n">
        <v>111283</v>
      </c>
      <c r="K301" s="3" t="n">
        <v>17062</v>
      </c>
      <c r="L301" s="3" t="n">
        <v>207</v>
      </c>
      <c r="M301" s="4" t="n">
        <f aca="false">IFERROR(D301/C301,0)</f>
        <v>0.0706955530216648</v>
      </c>
      <c r="N301" s="4" t="n">
        <f aca="false">IFERROR(E301/C301,0)</f>
        <v>0.287343215507412</v>
      </c>
      <c r="O301" s="5" t="n">
        <f aca="false">IFERROR(F301/MAX(C301-D301,1),0)</f>
        <v>3.06257668711656</v>
      </c>
      <c r="P301" s="5" t="n">
        <f aca="false">IFERROR(F301/C301,0)</f>
        <v>2.8460661345496</v>
      </c>
      <c r="Q301" s="5" t="n">
        <f aca="false">IFERROR(H301/C301,0)</f>
        <v>416.807411630559</v>
      </c>
      <c r="R301" s="4" t="n">
        <f aca="false">IFERROR(I301/F301,0)</f>
        <v>0.0721153846153846</v>
      </c>
      <c r="S301" s="4" t="n">
        <f aca="false">IFERROR(K301/J301,0)</f>
        <v>0.153320812702749</v>
      </c>
      <c r="T301" s="6" t="s">
        <v>23</v>
      </c>
    </row>
    <row r="302" customFormat="false" ht="15" hidden="false" customHeight="false" outlineLevel="0" collapsed="false">
      <c r="A302" s="3" t="s">
        <v>335</v>
      </c>
      <c r="B302" s="3" t="s">
        <v>22</v>
      </c>
      <c r="C302" s="3" t="n">
        <v>953</v>
      </c>
      <c r="D302" s="3" t="n">
        <v>112</v>
      </c>
      <c r="E302" s="3" t="n">
        <v>271</v>
      </c>
      <c r="F302" s="3" t="n">
        <v>1832</v>
      </c>
      <c r="G302" s="3" t="n">
        <v>6</v>
      </c>
      <c r="H302" s="3" t="n">
        <v>528022.3</v>
      </c>
      <c r="I302" s="3" t="n">
        <v>296</v>
      </c>
      <c r="J302" s="3" t="n">
        <v>167493</v>
      </c>
      <c r="K302" s="3" t="n">
        <v>33956</v>
      </c>
      <c r="L302" s="3" t="n">
        <v>280</v>
      </c>
      <c r="M302" s="4" t="n">
        <f aca="false">IFERROR(D302/C302,0)</f>
        <v>0.117523609653725</v>
      </c>
      <c r="N302" s="4" t="n">
        <f aca="false">IFERROR(E302/C302,0)</f>
        <v>0.284365162644281</v>
      </c>
      <c r="O302" s="5" t="n">
        <f aca="false">IFERROR(F302/MAX(C302-D302,1),0)</f>
        <v>2.17835909631391</v>
      </c>
      <c r="P302" s="5" t="n">
        <f aca="false">IFERROR(F302/C302,0)</f>
        <v>1.92235047219307</v>
      </c>
      <c r="Q302" s="5" t="n">
        <f aca="false">IFERROR(H302/C302,0)</f>
        <v>554.063273871983</v>
      </c>
      <c r="R302" s="4" t="n">
        <f aca="false">IFERROR(I302/F302,0)</f>
        <v>0.161572052401747</v>
      </c>
      <c r="S302" s="4" t="n">
        <f aca="false">IFERROR(K302/J302,0)</f>
        <v>0.202730860394166</v>
      </c>
      <c r="T302" s="6" t="s">
        <v>23</v>
      </c>
    </row>
    <row r="303" customFormat="false" ht="15" hidden="false" customHeight="false" outlineLevel="0" collapsed="false">
      <c r="A303" s="3" t="s">
        <v>336</v>
      </c>
      <c r="B303" s="3" t="s">
        <v>29</v>
      </c>
      <c r="C303" s="3" t="n">
        <v>2114</v>
      </c>
      <c r="D303" s="3" t="n">
        <v>304</v>
      </c>
      <c r="E303" s="3" t="n">
        <v>641</v>
      </c>
      <c r="F303" s="3" t="n">
        <v>6670</v>
      </c>
      <c r="G303" s="3" t="n">
        <v>18</v>
      </c>
      <c r="H303" s="3" t="n">
        <v>1023707.7</v>
      </c>
      <c r="I303" s="3" t="n">
        <v>1671</v>
      </c>
      <c r="J303" s="3" t="n">
        <v>155522</v>
      </c>
      <c r="K303" s="3" t="n">
        <v>42614</v>
      </c>
      <c r="L303" s="3" t="n">
        <v>0</v>
      </c>
      <c r="M303" s="4" t="n">
        <f aca="false">IFERROR(D303/C303,0)</f>
        <v>0.143803216650899</v>
      </c>
      <c r="N303" s="4" t="n">
        <f aca="false">IFERROR(E303/C303,0)</f>
        <v>0.30321665089877</v>
      </c>
      <c r="O303" s="5" t="n">
        <f aca="false">IFERROR(F303/MAX(C303-D303,1),0)</f>
        <v>3.68508287292818</v>
      </c>
      <c r="P303" s="5" t="n">
        <f aca="false">IFERROR(F303/C303,0)</f>
        <v>3.15515610217597</v>
      </c>
      <c r="Q303" s="5" t="n">
        <f aca="false">IFERROR(H303/C303,0)</f>
        <v>484.25151371807</v>
      </c>
      <c r="R303" s="4" t="n">
        <f aca="false">IFERROR(I303/F303,0)</f>
        <v>0.250524737631184</v>
      </c>
      <c r="S303" s="4" t="n">
        <f aca="false">IFERROR(K303/J303,0)</f>
        <v>0.274006249919626</v>
      </c>
      <c r="T303" s="6" t="s">
        <v>23</v>
      </c>
    </row>
    <row r="304" customFormat="false" ht="15" hidden="false" customHeight="false" outlineLevel="0" collapsed="false">
      <c r="A304" s="9" t="s">
        <v>337</v>
      </c>
      <c r="B304" s="9" t="s">
        <v>29</v>
      </c>
      <c r="C304" s="9" t="n">
        <v>2789</v>
      </c>
      <c r="D304" s="9" t="n">
        <v>1039</v>
      </c>
      <c r="E304" s="9" t="n">
        <v>1624</v>
      </c>
      <c r="F304" s="9" t="n">
        <v>16064</v>
      </c>
      <c r="G304" s="9" t="n">
        <v>22</v>
      </c>
      <c r="H304" s="9" t="n">
        <v>3079800.8</v>
      </c>
      <c r="I304" s="9" t="n">
        <v>11024</v>
      </c>
      <c r="J304" s="9" t="n">
        <v>366029</v>
      </c>
      <c r="K304" s="9" t="n">
        <v>264455</v>
      </c>
      <c r="L304" s="9" t="n">
        <v>0</v>
      </c>
      <c r="M304" s="10" t="n">
        <f aca="false">IFERROR(D304/C304,0)</f>
        <v>0.372534958766583</v>
      </c>
      <c r="N304" s="10" t="n">
        <f aca="false">IFERROR(E304/C304,0)</f>
        <v>0.582287558264611</v>
      </c>
      <c r="O304" s="11" t="n">
        <f aca="false">IFERROR(F304/MAX(C304-D304,1),0)</f>
        <v>9.17942857142857</v>
      </c>
      <c r="P304" s="11" t="n">
        <f aca="false">IFERROR(F304/C304,0)</f>
        <v>5.75977052707064</v>
      </c>
      <c r="Q304" s="11" t="n">
        <f aca="false">IFERROR(H304/C304,0)</f>
        <v>1104.26704912155</v>
      </c>
      <c r="R304" s="10" t="n">
        <f aca="false">IFERROR(I304/F304,0)</f>
        <v>0.686254980079681</v>
      </c>
      <c r="S304" s="10" t="n">
        <f aca="false">IFERROR(K304/J304,0)</f>
        <v>0.722497397747173</v>
      </c>
      <c r="T304" s="12" t="s">
        <v>30</v>
      </c>
    </row>
    <row r="305" customFormat="false" ht="15" hidden="false" customHeight="false" outlineLevel="0" collapsed="false">
      <c r="A305" s="3" t="s">
        <v>338</v>
      </c>
      <c r="B305" s="3" t="s">
        <v>29</v>
      </c>
      <c r="C305" s="3" t="n">
        <v>371</v>
      </c>
      <c r="D305" s="3" t="n">
        <v>27</v>
      </c>
      <c r="E305" s="3" t="n">
        <v>98</v>
      </c>
      <c r="F305" s="3" t="n">
        <v>945</v>
      </c>
      <c r="G305" s="3" t="n">
        <v>8</v>
      </c>
      <c r="H305" s="3" t="n">
        <v>80933.2</v>
      </c>
      <c r="I305" s="3" t="n">
        <v>146</v>
      </c>
      <c r="J305" s="3" t="n">
        <v>44719</v>
      </c>
      <c r="K305" s="3" t="n">
        <v>11522</v>
      </c>
      <c r="L305" s="3" t="n">
        <v>0</v>
      </c>
      <c r="M305" s="4" t="n">
        <f aca="false">IFERROR(D305/C305,0)</f>
        <v>0.0727762803234501</v>
      </c>
      <c r="N305" s="4" t="n">
        <f aca="false">IFERROR(E305/C305,0)</f>
        <v>0.264150943396226</v>
      </c>
      <c r="O305" s="5" t="n">
        <f aca="false">IFERROR(F305/MAX(C305-D305,1),0)</f>
        <v>2.74709302325581</v>
      </c>
      <c r="P305" s="5" t="n">
        <f aca="false">IFERROR(F305/C305,0)</f>
        <v>2.54716981132076</v>
      </c>
      <c r="Q305" s="5" t="n">
        <f aca="false">IFERROR(H305/C305,0)</f>
        <v>218.148787061995</v>
      </c>
      <c r="R305" s="4" t="n">
        <f aca="false">IFERROR(I305/F305,0)</f>
        <v>0.154497354497355</v>
      </c>
      <c r="S305" s="4" t="n">
        <f aca="false">IFERROR(K305/J305,0)</f>
        <v>0.257653346452291</v>
      </c>
      <c r="T305" s="6" t="s">
        <v>23</v>
      </c>
    </row>
    <row r="306" customFormat="false" ht="15" hidden="false" customHeight="false" outlineLevel="0" collapsed="false">
      <c r="A306" s="9" t="s">
        <v>339</v>
      </c>
      <c r="B306" s="9" t="s">
        <v>26</v>
      </c>
      <c r="C306" s="9" t="n">
        <v>2603</v>
      </c>
      <c r="D306" s="9" t="n">
        <v>736</v>
      </c>
      <c r="E306" s="9" t="n">
        <v>1487</v>
      </c>
      <c r="F306" s="9" t="n">
        <v>29796</v>
      </c>
      <c r="G306" s="9" t="n">
        <v>32</v>
      </c>
      <c r="H306" s="9" t="n">
        <v>3467079.8</v>
      </c>
      <c r="I306" s="9" t="n">
        <v>19170</v>
      </c>
      <c r="J306" s="9" t="n">
        <v>406430</v>
      </c>
      <c r="K306" s="9" t="n">
        <v>348948</v>
      </c>
      <c r="L306" s="9" t="n">
        <v>1212</v>
      </c>
      <c r="M306" s="10" t="n">
        <f aca="false">IFERROR(D306/C306,0)</f>
        <v>0.282750672301191</v>
      </c>
      <c r="N306" s="10" t="n">
        <f aca="false">IFERROR(E306/C306,0)</f>
        <v>0.571263926238955</v>
      </c>
      <c r="O306" s="11" t="n">
        <f aca="false">IFERROR(F306/MAX(C306-D306,1),0)</f>
        <v>15.9592929833958</v>
      </c>
      <c r="P306" s="11" t="n">
        <f aca="false">IFERROR(F306/C306,0)</f>
        <v>11.446792162889</v>
      </c>
      <c r="Q306" s="11" t="n">
        <f aca="false">IFERROR(H306/C306,0)</f>
        <v>1331.95535920092</v>
      </c>
      <c r="R306" s="10" t="n">
        <f aca="false">IFERROR(I306/F306,0)</f>
        <v>0.643374949657672</v>
      </c>
      <c r="S306" s="10" t="n">
        <f aca="false">IFERROR(K306/J306,0)</f>
        <v>0.858568511182738</v>
      </c>
      <c r="T306" s="12" t="s">
        <v>30</v>
      </c>
    </row>
    <row r="307" customFormat="false" ht="15" hidden="false" customHeight="false" outlineLevel="0" collapsed="false">
      <c r="A307" s="3" t="s">
        <v>340</v>
      </c>
      <c r="B307" s="3" t="s">
        <v>26</v>
      </c>
      <c r="C307" s="3" t="n">
        <v>678</v>
      </c>
      <c r="D307" s="3" t="n">
        <v>50</v>
      </c>
      <c r="E307" s="3" t="n">
        <v>215</v>
      </c>
      <c r="F307" s="3" t="n">
        <v>1433</v>
      </c>
      <c r="G307" s="3" t="n">
        <v>7</v>
      </c>
      <c r="H307" s="3" t="n">
        <v>186444.8</v>
      </c>
      <c r="I307" s="3" t="n">
        <v>115</v>
      </c>
      <c r="J307" s="3" t="n">
        <v>56749</v>
      </c>
      <c r="K307" s="3" t="n">
        <v>10465</v>
      </c>
      <c r="L307" s="3" t="n">
        <v>222</v>
      </c>
      <c r="M307" s="4" t="n">
        <f aca="false">IFERROR(D307/C307,0)</f>
        <v>0.0737463126843658</v>
      </c>
      <c r="N307" s="4" t="n">
        <f aca="false">IFERROR(E307/C307,0)</f>
        <v>0.317109144542773</v>
      </c>
      <c r="O307" s="5" t="n">
        <f aca="false">IFERROR(F307/MAX(C307-D307,1),0)</f>
        <v>2.28184713375796</v>
      </c>
      <c r="P307" s="5" t="n">
        <f aca="false">IFERROR(F307/C307,0)</f>
        <v>2.11356932153392</v>
      </c>
      <c r="Q307" s="5" t="n">
        <f aca="false">IFERROR(H307/C307,0)</f>
        <v>274.992330383481</v>
      </c>
      <c r="R307" s="4" t="n">
        <f aca="false">IFERROR(I307/F307,0)</f>
        <v>0.0802512212142359</v>
      </c>
      <c r="S307" s="4" t="n">
        <f aca="false">IFERROR(K307/J307,0)</f>
        <v>0.184408535833231</v>
      </c>
      <c r="T307" s="6" t="s">
        <v>23</v>
      </c>
    </row>
    <row r="308" customFormat="false" ht="15" hidden="false" customHeight="false" outlineLevel="0" collapsed="false">
      <c r="A308" s="3" t="s">
        <v>341</v>
      </c>
      <c r="B308" s="3" t="s">
        <v>26</v>
      </c>
      <c r="C308" s="3" t="n">
        <v>3968</v>
      </c>
      <c r="D308" s="3" t="n">
        <v>727</v>
      </c>
      <c r="E308" s="3" t="n">
        <v>1753</v>
      </c>
      <c r="F308" s="3" t="n">
        <v>14275</v>
      </c>
      <c r="G308" s="3" t="n">
        <v>16</v>
      </c>
      <c r="H308" s="3" t="n">
        <v>2681875.3</v>
      </c>
      <c r="I308" s="3" t="n">
        <v>2913</v>
      </c>
      <c r="J308" s="3" t="n">
        <v>286984</v>
      </c>
      <c r="K308" s="3" t="n">
        <v>54058</v>
      </c>
      <c r="L308" s="3" t="n">
        <v>1489</v>
      </c>
      <c r="M308" s="4" t="n">
        <f aca="false">IFERROR(D308/C308,0)</f>
        <v>0.183215725806452</v>
      </c>
      <c r="N308" s="4" t="n">
        <f aca="false">IFERROR(E308/C308,0)</f>
        <v>0.441784274193548</v>
      </c>
      <c r="O308" s="5" t="n">
        <f aca="false">IFERROR(F308/MAX(C308-D308,1),0)</f>
        <v>4.40450478247455</v>
      </c>
      <c r="P308" s="5" t="n">
        <f aca="false">IFERROR(F308/C308,0)</f>
        <v>3.59753024193548</v>
      </c>
      <c r="Q308" s="5" t="n">
        <f aca="false">IFERROR(H308/C308,0)</f>
        <v>675.875831653226</v>
      </c>
      <c r="R308" s="4" t="n">
        <f aca="false">IFERROR(I308/F308,0)</f>
        <v>0.204063047285464</v>
      </c>
      <c r="S308" s="4" t="n">
        <f aca="false">IFERROR(K308/J308,0)</f>
        <v>0.188365901931815</v>
      </c>
      <c r="T308" s="6" t="s">
        <v>23</v>
      </c>
    </row>
    <row r="309" customFormat="false" ht="15" hidden="false" customHeight="false" outlineLevel="0" collapsed="false">
      <c r="A309" s="9" t="s">
        <v>342</v>
      </c>
      <c r="B309" s="9" t="s">
        <v>29</v>
      </c>
      <c r="C309" s="9" t="n">
        <v>1208</v>
      </c>
      <c r="D309" s="9" t="n">
        <v>467</v>
      </c>
      <c r="E309" s="9" t="n">
        <v>755</v>
      </c>
      <c r="F309" s="9" t="n">
        <v>7058</v>
      </c>
      <c r="G309" s="9" t="n">
        <v>14</v>
      </c>
      <c r="H309" s="9" t="n">
        <v>1275419.1</v>
      </c>
      <c r="I309" s="9" t="n">
        <v>2572</v>
      </c>
      <c r="J309" s="9" t="n">
        <v>199097</v>
      </c>
      <c r="K309" s="9" t="n">
        <v>145506</v>
      </c>
      <c r="L309" s="9" t="n">
        <v>0</v>
      </c>
      <c r="M309" s="10" t="n">
        <f aca="false">IFERROR(D309/C309,0)</f>
        <v>0.38658940397351</v>
      </c>
      <c r="N309" s="10" t="n">
        <f aca="false">IFERROR(E309/C309,0)</f>
        <v>0.625</v>
      </c>
      <c r="O309" s="11" t="n">
        <f aca="false">IFERROR(F309/MAX(C309-D309,1),0)</f>
        <v>9.52496626180837</v>
      </c>
      <c r="P309" s="11" t="n">
        <f aca="false">IFERROR(F309/C309,0)</f>
        <v>5.84271523178808</v>
      </c>
      <c r="Q309" s="11" t="n">
        <f aca="false">IFERROR(H309/C309,0)</f>
        <v>1055.81051324503</v>
      </c>
      <c r="R309" s="10" t="n">
        <f aca="false">IFERROR(I309/F309,0)</f>
        <v>0.364409181071125</v>
      </c>
      <c r="S309" s="10" t="n">
        <f aca="false">IFERROR(K309/J309,0)</f>
        <v>0.730829696077791</v>
      </c>
      <c r="T309" s="12" t="s">
        <v>30</v>
      </c>
    </row>
    <row r="310" customFormat="false" ht="15" hidden="false" customHeight="false" outlineLevel="0" collapsed="false">
      <c r="A310" s="3" t="s">
        <v>343</v>
      </c>
      <c r="B310" s="3" t="s">
        <v>26</v>
      </c>
      <c r="C310" s="3" t="n">
        <v>1537</v>
      </c>
      <c r="D310" s="3" t="n">
        <v>77</v>
      </c>
      <c r="E310" s="3" t="n">
        <v>564</v>
      </c>
      <c r="F310" s="3" t="n">
        <v>3209</v>
      </c>
      <c r="G310" s="3" t="n">
        <v>10</v>
      </c>
      <c r="H310" s="3" t="n">
        <v>528380.5</v>
      </c>
      <c r="I310" s="3" t="n">
        <v>741</v>
      </c>
      <c r="J310" s="3" t="n">
        <v>195292</v>
      </c>
      <c r="K310" s="3" t="n">
        <v>34431</v>
      </c>
      <c r="L310" s="3" t="n">
        <v>472</v>
      </c>
      <c r="M310" s="4" t="n">
        <f aca="false">IFERROR(D310/C310,0)</f>
        <v>0.0500975927130774</v>
      </c>
      <c r="N310" s="4" t="n">
        <f aca="false">IFERROR(E310/C310,0)</f>
        <v>0.366948601171113</v>
      </c>
      <c r="O310" s="5" t="n">
        <f aca="false">IFERROR(F310/MAX(C310-D310,1),0)</f>
        <v>2.19794520547945</v>
      </c>
      <c r="P310" s="5" t="n">
        <f aca="false">IFERROR(F310/C310,0)</f>
        <v>2.08783344176968</v>
      </c>
      <c r="Q310" s="5" t="n">
        <f aca="false">IFERROR(H310/C310,0)</f>
        <v>343.773910214704</v>
      </c>
      <c r="R310" s="4" t="n">
        <f aca="false">IFERROR(I310/F310,0)</f>
        <v>0.230913057027111</v>
      </c>
      <c r="S310" s="4" t="n">
        <f aca="false">IFERROR(K310/J310,0)</f>
        <v>0.176305224996416</v>
      </c>
      <c r="T310" s="6" t="s">
        <v>23</v>
      </c>
    </row>
    <row r="311" customFormat="false" ht="15" hidden="false" customHeight="false" outlineLevel="0" collapsed="false">
      <c r="A311" s="3" t="s">
        <v>344</v>
      </c>
      <c r="B311" s="3" t="s">
        <v>22</v>
      </c>
      <c r="C311" s="3" t="n">
        <v>580</v>
      </c>
      <c r="D311" s="3" t="n">
        <v>54</v>
      </c>
      <c r="E311" s="3" t="n">
        <v>237</v>
      </c>
      <c r="F311" s="3" t="n">
        <v>1400</v>
      </c>
      <c r="G311" s="3" t="n">
        <v>7</v>
      </c>
      <c r="H311" s="3" t="n">
        <v>302650.8</v>
      </c>
      <c r="I311" s="3" t="n">
        <v>288</v>
      </c>
      <c r="J311" s="3" t="n">
        <v>107111</v>
      </c>
      <c r="K311" s="3" t="n">
        <v>22251</v>
      </c>
      <c r="L311" s="3" t="n">
        <v>115</v>
      </c>
      <c r="M311" s="4" t="n">
        <f aca="false">IFERROR(D311/C311,0)</f>
        <v>0.0931034482758621</v>
      </c>
      <c r="N311" s="4" t="n">
        <f aca="false">IFERROR(E311/C311,0)</f>
        <v>0.408620689655172</v>
      </c>
      <c r="O311" s="5" t="n">
        <f aca="false">IFERROR(F311/MAX(C311-D311,1),0)</f>
        <v>2.66159695817491</v>
      </c>
      <c r="P311" s="5" t="n">
        <f aca="false">IFERROR(F311/C311,0)</f>
        <v>2.41379310344828</v>
      </c>
      <c r="Q311" s="5" t="n">
        <f aca="false">IFERROR(H311/C311,0)</f>
        <v>521.811724137931</v>
      </c>
      <c r="R311" s="4" t="n">
        <f aca="false">IFERROR(I311/F311,0)</f>
        <v>0.205714285714286</v>
      </c>
      <c r="S311" s="4" t="n">
        <f aca="false">IFERROR(K311/J311,0)</f>
        <v>0.207737767362829</v>
      </c>
      <c r="T311" s="6" t="s">
        <v>23</v>
      </c>
    </row>
    <row r="312" customFormat="false" ht="15" hidden="false" customHeight="false" outlineLevel="0" collapsed="false">
      <c r="A312" s="9" t="s">
        <v>345</v>
      </c>
      <c r="B312" s="9" t="s">
        <v>22</v>
      </c>
      <c r="C312" s="9" t="n">
        <v>2572</v>
      </c>
      <c r="D312" s="9" t="n">
        <v>1195</v>
      </c>
      <c r="E312" s="9" t="n">
        <v>1788</v>
      </c>
      <c r="F312" s="9" t="n">
        <v>21695</v>
      </c>
      <c r="G312" s="9" t="n">
        <v>25</v>
      </c>
      <c r="H312" s="9" t="n">
        <v>2950209.3</v>
      </c>
      <c r="I312" s="9" t="n">
        <v>12545</v>
      </c>
      <c r="J312" s="9" t="n">
        <v>318318</v>
      </c>
      <c r="K312" s="9" t="n">
        <v>240547</v>
      </c>
      <c r="L312" s="9" t="n">
        <v>909</v>
      </c>
      <c r="M312" s="10" t="n">
        <f aca="false">IFERROR(D312/C312,0)</f>
        <v>0.464618973561431</v>
      </c>
      <c r="N312" s="10" t="n">
        <f aca="false">IFERROR(E312/C312,0)</f>
        <v>0.695178849144635</v>
      </c>
      <c r="O312" s="11" t="n">
        <f aca="false">IFERROR(F312/MAX(C312-D312,1),0)</f>
        <v>15.7552650689906</v>
      </c>
      <c r="P312" s="11" t="n">
        <f aca="false">IFERROR(F312/C312,0)</f>
        <v>8.4350699844479</v>
      </c>
      <c r="Q312" s="11" t="n">
        <f aca="false">IFERROR(H312/C312,0)</f>
        <v>1147.04871695179</v>
      </c>
      <c r="R312" s="10" t="n">
        <f aca="false">IFERROR(I312/F312,0)</f>
        <v>0.57824383498502</v>
      </c>
      <c r="S312" s="10" t="n">
        <f aca="false">IFERROR(K312/J312,0)</f>
        <v>0.755681425492746</v>
      </c>
      <c r="T312" s="12" t="s">
        <v>30</v>
      </c>
    </row>
    <row r="313" customFormat="false" ht="15" hidden="false" customHeight="false" outlineLevel="0" collapsed="false">
      <c r="A313" s="9" t="s">
        <v>346</v>
      </c>
      <c r="B313" s="9" t="s">
        <v>22</v>
      </c>
      <c r="C313" s="9" t="n">
        <v>2313</v>
      </c>
      <c r="D313" s="9" t="n">
        <v>998</v>
      </c>
      <c r="E313" s="9" t="n">
        <v>1562</v>
      </c>
      <c r="F313" s="9" t="n">
        <v>25134</v>
      </c>
      <c r="G313" s="9" t="n">
        <v>28</v>
      </c>
      <c r="H313" s="9" t="n">
        <v>3214327.6</v>
      </c>
      <c r="I313" s="9" t="n">
        <v>14404</v>
      </c>
      <c r="J313" s="9" t="n">
        <v>201534</v>
      </c>
      <c r="K313" s="9" t="n">
        <v>135535</v>
      </c>
      <c r="L313" s="9" t="n">
        <v>391</v>
      </c>
      <c r="M313" s="10" t="n">
        <f aca="false">IFERROR(D313/C313,0)</f>
        <v>0.431474275832253</v>
      </c>
      <c r="N313" s="10" t="n">
        <f aca="false">IFERROR(E313/C313,0)</f>
        <v>0.675313445741461</v>
      </c>
      <c r="O313" s="11" t="n">
        <f aca="false">IFERROR(F313/MAX(C313-D313,1),0)</f>
        <v>19.1133079847909</v>
      </c>
      <c r="P313" s="11" t="n">
        <f aca="false">IFERROR(F313/C313,0)</f>
        <v>10.8664072632944</v>
      </c>
      <c r="Q313" s="11" t="n">
        <f aca="false">IFERROR(H313/C313,0)</f>
        <v>1389.67903156074</v>
      </c>
      <c r="R313" s="10" t="n">
        <f aca="false">IFERROR(I313/F313,0)</f>
        <v>0.573088246996101</v>
      </c>
      <c r="S313" s="10" t="n">
        <f aca="false">IFERROR(K313/J313,0)</f>
        <v>0.67251679617335</v>
      </c>
      <c r="T313" s="12" t="s">
        <v>30</v>
      </c>
    </row>
    <row r="314" customFormat="false" ht="15" hidden="false" customHeight="false" outlineLevel="0" collapsed="false">
      <c r="A314" s="3" t="s">
        <v>347</v>
      </c>
      <c r="B314" s="3" t="s">
        <v>26</v>
      </c>
      <c r="C314" s="3" t="n">
        <v>561</v>
      </c>
      <c r="D314" s="3" t="n">
        <v>24</v>
      </c>
      <c r="E314" s="3" t="n">
        <v>165</v>
      </c>
      <c r="F314" s="3" t="n">
        <v>1073</v>
      </c>
      <c r="G314" s="3" t="n">
        <v>7</v>
      </c>
      <c r="H314" s="3" t="n">
        <v>249493.8</v>
      </c>
      <c r="I314" s="3" t="n">
        <v>273</v>
      </c>
      <c r="J314" s="3" t="n">
        <v>44082</v>
      </c>
      <c r="K314" s="3" t="n">
        <v>7478</v>
      </c>
      <c r="L314" s="3" t="n">
        <v>92</v>
      </c>
      <c r="M314" s="4" t="n">
        <f aca="false">IFERROR(D314/C314,0)</f>
        <v>0.0427807486631016</v>
      </c>
      <c r="N314" s="4" t="n">
        <f aca="false">IFERROR(E314/C314,0)</f>
        <v>0.294117647058824</v>
      </c>
      <c r="O314" s="5" t="n">
        <f aca="false">IFERROR(F314/MAX(C314-D314,1),0)</f>
        <v>1.99813780260708</v>
      </c>
      <c r="P314" s="5" t="n">
        <f aca="false">IFERROR(F314/C314,0)</f>
        <v>1.9126559714795</v>
      </c>
      <c r="Q314" s="5" t="n">
        <f aca="false">IFERROR(H314/C314,0)</f>
        <v>444.730481283422</v>
      </c>
      <c r="R314" s="4" t="n">
        <f aca="false">IFERROR(I314/F314,0)</f>
        <v>0.254426840633737</v>
      </c>
      <c r="S314" s="4" t="n">
        <f aca="false">IFERROR(K314/J314,0)</f>
        <v>0.169638401161472</v>
      </c>
      <c r="T314" s="6" t="s">
        <v>23</v>
      </c>
    </row>
    <row r="315" customFormat="false" ht="15" hidden="false" customHeight="false" outlineLevel="0" collapsed="false">
      <c r="A315" s="3" t="s">
        <v>348</v>
      </c>
      <c r="B315" s="3" t="s">
        <v>26</v>
      </c>
      <c r="C315" s="3" t="n">
        <v>2574</v>
      </c>
      <c r="D315" s="3" t="n">
        <v>237</v>
      </c>
      <c r="E315" s="3" t="n">
        <v>714</v>
      </c>
      <c r="F315" s="3" t="n">
        <v>6408</v>
      </c>
      <c r="G315" s="3" t="n">
        <v>8</v>
      </c>
      <c r="H315" s="3" t="n">
        <v>1480550.4</v>
      </c>
      <c r="I315" s="3" t="n">
        <v>887</v>
      </c>
      <c r="J315" s="3" t="n">
        <v>409087</v>
      </c>
      <c r="K315" s="3" t="n">
        <v>64658</v>
      </c>
      <c r="L315" s="3" t="n">
        <v>403</v>
      </c>
      <c r="M315" s="4" t="n">
        <f aca="false">IFERROR(D315/C315,0)</f>
        <v>0.0920745920745921</v>
      </c>
      <c r="N315" s="4" t="n">
        <f aca="false">IFERROR(E315/C315,0)</f>
        <v>0.277389277389277</v>
      </c>
      <c r="O315" s="5" t="n">
        <f aca="false">IFERROR(F315/MAX(C315-D315,1),0)</f>
        <v>2.74197689345315</v>
      </c>
      <c r="P315" s="5" t="n">
        <f aca="false">IFERROR(F315/C315,0)</f>
        <v>2.48951048951049</v>
      </c>
      <c r="Q315" s="5" t="n">
        <f aca="false">IFERROR(H315/C315,0)</f>
        <v>575.194405594406</v>
      </c>
      <c r="R315" s="4" t="n">
        <f aca="false">IFERROR(I315/F315,0)</f>
        <v>0.138420724094881</v>
      </c>
      <c r="S315" s="4" t="n">
        <f aca="false">IFERROR(K315/J315,0)</f>
        <v>0.158054399186481</v>
      </c>
      <c r="T315" s="6" t="s">
        <v>23</v>
      </c>
    </row>
    <row r="316" customFormat="false" ht="15" hidden="false" customHeight="false" outlineLevel="0" collapsed="false">
      <c r="A316" s="3" t="s">
        <v>349</v>
      </c>
      <c r="B316" s="3" t="s">
        <v>22</v>
      </c>
      <c r="C316" s="3" t="n">
        <v>3217</v>
      </c>
      <c r="D316" s="3" t="n">
        <v>293</v>
      </c>
      <c r="E316" s="3" t="n">
        <v>887</v>
      </c>
      <c r="F316" s="3" t="n">
        <v>7957</v>
      </c>
      <c r="G316" s="3" t="n">
        <v>9</v>
      </c>
      <c r="H316" s="3" t="n">
        <v>1819792.3</v>
      </c>
      <c r="I316" s="3" t="n">
        <v>2080</v>
      </c>
      <c r="J316" s="3" t="n">
        <v>581169</v>
      </c>
      <c r="K316" s="3" t="n">
        <v>85178</v>
      </c>
      <c r="L316" s="3" t="n">
        <v>464</v>
      </c>
      <c r="M316" s="4" t="n">
        <f aca="false">IFERROR(D316/C316,0)</f>
        <v>0.0910786447000311</v>
      </c>
      <c r="N316" s="4" t="n">
        <f aca="false">IFERROR(E316/C316,0)</f>
        <v>0.275722723033883</v>
      </c>
      <c r="O316" s="5" t="n">
        <f aca="false">IFERROR(F316/MAX(C316-D316,1),0)</f>
        <v>2.72127222982216</v>
      </c>
      <c r="P316" s="5" t="n">
        <f aca="false">IFERROR(F316/C316,0)</f>
        <v>2.47342244327013</v>
      </c>
      <c r="Q316" s="5" t="n">
        <f aca="false">IFERROR(H316/C316,0)</f>
        <v>565.67991917936</v>
      </c>
      <c r="R316" s="4" t="n">
        <f aca="false">IFERROR(I316/F316,0)</f>
        <v>0.261405052155335</v>
      </c>
      <c r="S316" s="4" t="n">
        <f aca="false">IFERROR(K316/J316,0)</f>
        <v>0.146563219992808</v>
      </c>
      <c r="T316" s="6" t="s">
        <v>23</v>
      </c>
    </row>
    <row r="317" customFormat="false" ht="15" hidden="false" customHeight="false" outlineLevel="0" collapsed="false">
      <c r="A317" s="3" t="s">
        <v>350</v>
      </c>
      <c r="B317" s="3" t="s">
        <v>26</v>
      </c>
      <c r="C317" s="3" t="n">
        <v>653</v>
      </c>
      <c r="D317" s="3" t="n">
        <v>76</v>
      </c>
      <c r="E317" s="3" t="n">
        <v>281</v>
      </c>
      <c r="F317" s="3" t="n">
        <v>1134</v>
      </c>
      <c r="G317" s="3" t="n">
        <v>6</v>
      </c>
      <c r="H317" s="3" t="n">
        <v>361410.3</v>
      </c>
      <c r="I317" s="3" t="n">
        <v>261</v>
      </c>
      <c r="J317" s="3" t="n">
        <v>61949</v>
      </c>
      <c r="K317" s="3" t="n">
        <v>12658</v>
      </c>
      <c r="L317" s="3" t="n">
        <v>135</v>
      </c>
      <c r="M317" s="4" t="n">
        <f aca="false">IFERROR(D317/C317,0)</f>
        <v>0.116385911179173</v>
      </c>
      <c r="N317" s="4" t="n">
        <f aca="false">IFERROR(E317/C317,0)</f>
        <v>0.430321592649311</v>
      </c>
      <c r="O317" s="5" t="n">
        <f aca="false">IFERROR(F317/MAX(C317-D317,1),0)</f>
        <v>1.96533795493934</v>
      </c>
      <c r="P317" s="5" t="n">
        <f aca="false">IFERROR(F317/C317,0)</f>
        <v>1.73660030627871</v>
      </c>
      <c r="Q317" s="5" t="n">
        <f aca="false">IFERROR(H317/C317,0)</f>
        <v>553.461408882083</v>
      </c>
      <c r="R317" s="4" t="n">
        <f aca="false">IFERROR(I317/F317,0)</f>
        <v>0.23015873015873</v>
      </c>
      <c r="S317" s="4" t="n">
        <f aca="false">IFERROR(K317/J317,0)</f>
        <v>0.204329367705693</v>
      </c>
      <c r="T317" s="6" t="s">
        <v>23</v>
      </c>
    </row>
    <row r="318" customFormat="false" ht="15" hidden="false" customHeight="false" outlineLevel="0" collapsed="false">
      <c r="A318" s="3" t="s">
        <v>351</v>
      </c>
      <c r="B318" s="3" t="s">
        <v>22</v>
      </c>
      <c r="C318" s="3" t="n">
        <v>890</v>
      </c>
      <c r="D318" s="3" t="n">
        <v>129</v>
      </c>
      <c r="E318" s="3" t="n">
        <v>313</v>
      </c>
      <c r="F318" s="3" t="n">
        <v>3208</v>
      </c>
      <c r="G318" s="3" t="n">
        <v>14</v>
      </c>
      <c r="H318" s="3" t="n">
        <v>357489</v>
      </c>
      <c r="I318" s="3" t="n">
        <v>770</v>
      </c>
      <c r="J318" s="3" t="n">
        <v>105238</v>
      </c>
      <c r="K318" s="3" t="n">
        <v>21961</v>
      </c>
      <c r="L318" s="3" t="n">
        <v>289</v>
      </c>
      <c r="M318" s="4" t="n">
        <f aca="false">IFERROR(D318/C318,0)</f>
        <v>0.144943820224719</v>
      </c>
      <c r="N318" s="4" t="n">
        <f aca="false">IFERROR(E318/C318,0)</f>
        <v>0.351685393258427</v>
      </c>
      <c r="O318" s="5" t="n">
        <f aca="false">IFERROR(F318/MAX(C318-D318,1),0)</f>
        <v>4.21550591327201</v>
      </c>
      <c r="P318" s="5" t="n">
        <f aca="false">IFERROR(F318/C318,0)</f>
        <v>3.60449438202247</v>
      </c>
      <c r="Q318" s="5" t="n">
        <f aca="false">IFERROR(H318/C318,0)</f>
        <v>401.673033707865</v>
      </c>
      <c r="R318" s="4" t="n">
        <f aca="false">IFERROR(I318/F318,0)</f>
        <v>0.24002493765586</v>
      </c>
      <c r="S318" s="4" t="n">
        <f aca="false">IFERROR(K318/J318,0)</f>
        <v>0.208679374370475</v>
      </c>
      <c r="T318" s="6" t="s">
        <v>23</v>
      </c>
    </row>
    <row r="319" customFormat="false" ht="15" hidden="false" customHeight="false" outlineLevel="0" collapsed="false">
      <c r="A319" s="3" t="s">
        <v>352</v>
      </c>
      <c r="B319" s="3" t="s">
        <v>26</v>
      </c>
      <c r="C319" s="3" t="n">
        <v>2996</v>
      </c>
      <c r="D319" s="3" t="n">
        <v>126</v>
      </c>
      <c r="E319" s="3" t="n">
        <v>1108</v>
      </c>
      <c r="F319" s="3" t="n">
        <v>8113</v>
      </c>
      <c r="G319" s="3" t="n">
        <v>14</v>
      </c>
      <c r="H319" s="3" t="n">
        <v>825416.3</v>
      </c>
      <c r="I319" s="3" t="n">
        <v>1521</v>
      </c>
      <c r="J319" s="3" t="n">
        <v>541206</v>
      </c>
      <c r="K319" s="3" t="n">
        <v>94723</v>
      </c>
      <c r="L319" s="3" t="n">
        <v>1144</v>
      </c>
      <c r="M319" s="4" t="n">
        <f aca="false">IFERROR(D319/C319,0)</f>
        <v>0.0420560747663551</v>
      </c>
      <c r="N319" s="4" t="n">
        <f aca="false">IFERROR(E319/C319,0)</f>
        <v>0.369826435246996</v>
      </c>
      <c r="O319" s="5" t="n">
        <f aca="false">IFERROR(F319/MAX(C319-D319,1),0)</f>
        <v>2.82682926829268</v>
      </c>
      <c r="P319" s="5" t="n">
        <f aca="false">IFERROR(F319/C319,0)</f>
        <v>2.70794392523365</v>
      </c>
      <c r="Q319" s="5" t="n">
        <f aca="false">IFERROR(H319/C319,0)</f>
        <v>275.506108144192</v>
      </c>
      <c r="R319" s="4" t="n">
        <f aca="false">IFERROR(I319/F319,0)</f>
        <v>0.187476888943671</v>
      </c>
      <c r="S319" s="4" t="n">
        <f aca="false">IFERROR(K319/J319,0)</f>
        <v>0.175022080316922</v>
      </c>
      <c r="T319" s="6" t="s">
        <v>23</v>
      </c>
    </row>
    <row r="320" customFormat="false" ht="15" hidden="false" customHeight="false" outlineLevel="0" collapsed="false">
      <c r="A320" s="3" t="s">
        <v>353</v>
      </c>
      <c r="B320" s="3" t="s">
        <v>22</v>
      </c>
      <c r="C320" s="3" t="n">
        <v>3377</v>
      </c>
      <c r="D320" s="3" t="n">
        <v>309</v>
      </c>
      <c r="E320" s="3" t="n">
        <v>992</v>
      </c>
      <c r="F320" s="3" t="n">
        <v>11361</v>
      </c>
      <c r="G320" s="3" t="n">
        <v>14</v>
      </c>
      <c r="H320" s="3" t="n">
        <v>1884271.4</v>
      </c>
      <c r="I320" s="3" t="n">
        <v>2402</v>
      </c>
      <c r="J320" s="3" t="n">
        <v>435724</v>
      </c>
      <c r="K320" s="3" t="n">
        <v>75233</v>
      </c>
      <c r="L320" s="3" t="n">
        <v>433</v>
      </c>
      <c r="M320" s="4" t="n">
        <f aca="false">IFERROR(D320/C320,0)</f>
        <v>0.0915013325436778</v>
      </c>
      <c r="N320" s="4" t="n">
        <f aca="false">IFERROR(E320/C320,0)</f>
        <v>0.293751850755108</v>
      </c>
      <c r="O320" s="5" t="n">
        <f aca="false">IFERROR(F320/MAX(C320-D320,1),0)</f>
        <v>3.70306388526728</v>
      </c>
      <c r="P320" s="5" t="n">
        <f aca="false">IFERROR(F320/C320,0)</f>
        <v>3.36422860527095</v>
      </c>
      <c r="Q320" s="5" t="n">
        <f aca="false">IFERROR(H320/C320,0)</f>
        <v>557.971986970684</v>
      </c>
      <c r="R320" s="4" t="n">
        <f aca="false">IFERROR(I320/F320,0)</f>
        <v>0.211425050611742</v>
      </c>
      <c r="S320" s="4" t="n">
        <f aca="false">IFERROR(K320/J320,0)</f>
        <v>0.17266205212474</v>
      </c>
      <c r="T320" s="6" t="s">
        <v>23</v>
      </c>
    </row>
    <row r="321" customFormat="false" ht="15" hidden="false" customHeight="false" outlineLevel="0" collapsed="false">
      <c r="A321" s="3" t="s">
        <v>354</v>
      </c>
      <c r="B321" s="3" t="s">
        <v>22</v>
      </c>
      <c r="C321" s="3" t="n">
        <v>1803</v>
      </c>
      <c r="D321" s="3" t="n">
        <v>139</v>
      </c>
      <c r="E321" s="3" t="n">
        <v>592</v>
      </c>
      <c r="F321" s="3" t="n">
        <v>4065</v>
      </c>
      <c r="G321" s="3" t="n">
        <v>7</v>
      </c>
      <c r="H321" s="3" t="n">
        <v>815353.3</v>
      </c>
      <c r="I321" s="3" t="n">
        <v>843</v>
      </c>
      <c r="J321" s="3" t="n">
        <v>292885</v>
      </c>
      <c r="K321" s="3" t="n">
        <v>69079</v>
      </c>
      <c r="L321" s="3" t="n">
        <v>423</v>
      </c>
      <c r="M321" s="4" t="n">
        <f aca="false">IFERROR(D321/C321,0)</f>
        <v>0.0770937326677759</v>
      </c>
      <c r="N321" s="4" t="n">
        <f aca="false">IFERROR(E321/C321,0)</f>
        <v>0.328341652800887</v>
      </c>
      <c r="O321" s="5" t="n">
        <f aca="false">IFERROR(F321/MAX(C321-D321,1),0)</f>
        <v>2.44290865384615</v>
      </c>
      <c r="P321" s="5" t="n">
        <f aca="false">IFERROR(F321/C321,0)</f>
        <v>2.25457570715474</v>
      </c>
      <c r="Q321" s="5" t="n">
        <f aca="false">IFERROR(H321/C321,0)</f>
        <v>452.220354963949</v>
      </c>
      <c r="R321" s="4" t="n">
        <f aca="false">IFERROR(I321/F321,0)</f>
        <v>0.207380073800738</v>
      </c>
      <c r="S321" s="4" t="n">
        <f aca="false">IFERROR(K321/J321,0)</f>
        <v>0.235857077009748</v>
      </c>
      <c r="T321" s="6" t="s">
        <v>23</v>
      </c>
    </row>
    <row r="322" customFormat="false" ht="15" hidden="false" customHeight="false" outlineLevel="0" collapsed="false">
      <c r="A322" s="3" t="s">
        <v>355</v>
      </c>
      <c r="B322" s="3" t="s">
        <v>26</v>
      </c>
      <c r="C322" s="3" t="n">
        <v>3607</v>
      </c>
      <c r="D322" s="3" t="n">
        <v>463</v>
      </c>
      <c r="E322" s="3" t="n">
        <v>1218</v>
      </c>
      <c r="F322" s="3" t="n">
        <v>6434</v>
      </c>
      <c r="G322" s="3" t="n">
        <v>6</v>
      </c>
      <c r="H322" s="3" t="n">
        <v>1805266.7</v>
      </c>
      <c r="I322" s="3" t="n">
        <v>1111</v>
      </c>
      <c r="J322" s="3" t="n">
        <v>677212</v>
      </c>
      <c r="K322" s="3" t="n">
        <v>164487</v>
      </c>
      <c r="L322" s="3" t="n">
        <v>763</v>
      </c>
      <c r="M322" s="4" t="n">
        <f aca="false">IFERROR(D322/C322,0)</f>
        <v>0.12836151926809</v>
      </c>
      <c r="N322" s="4" t="n">
        <f aca="false">IFERROR(E322/C322,0)</f>
        <v>0.337676739672858</v>
      </c>
      <c r="O322" s="5" t="n">
        <f aca="false">IFERROR(F322/MAX(C322-D322,1),0)</f>
        <v>2.04643765903308</v>
      </c>
      <c r="P322" s="5" t="n">
        <f aca="false">IFERROR(F322/C322,0)</f>
        <v>1.78375381203216</v>
      </c>
      <c r="Q322" s="5" t="n">
        <f aca="false">IFERROR(H322/C322,0)</f>
        <v>500.489797615747</v>
      </c>
      <c r="R322" s="4" t="n">
        <f aca="false">IFERROR(I322/F322,0)</f>
        <v>0.172676406589991</v>
      </c>
      <c r="S322" s="4" t="n">
        <f aca="false">IFERROR(K322/J322,0)</f>
        <v>0.242888489867279</v>
      </c>
      <c r="T322" s="6" t="s">
        <v>23</v>
      </c>
    </row>
    <row r="323" customFormat="false" ht="15" hidden="false" customHeight="false" outlineLevel="0" collapsed="false">
      <c r="A323" s="3" t="s">
        <v>356</v>
      </c>
      <c r="B323" s="3" t="s">
        <v>26</v>
      </c>
      <c r="C323" s="3" t="n">
        <v>1696</v>
      </c>
      <c r="D323" s="3" t="n">
        <v>99</v>
      </c>
      <c r="E323" s="3" t="n">
        <v>483</v>
      </c>
      <c r="F323" s="3" t="n">
        <v>2692</v>
      </c>
      <c r="G323" s="3" t="n">
        <v>6</v>
      </c>
      <c r="H323" s="3" t="n">
        <v>713985</v>
      </c>
      <c r="I323" s="3" t="n">
        <v>561</v>
      </c>
      <c r="J323" s="3" t="n">
        <v>190209</v>
      </c>
      <c r="K323" s="3" t="n">
        <v>43401</v>
      </c>
      <c r="L323" s="3" t="n">
        <v>274</v>
      </c>
      <c r="M323" s="4" t="n">
        <f aca="false">IFERROR(D323/C323,0)</f>
        <v>0.058372641509434</v>
      </c>
      <c r="N323" s="4" t="n">
        <f aca="false">IFERROR(E323/C323,0)</f>
        <v>0.284787735849057</v>
      </c>
      <c r="O323" s="5" t="n">
        <f aca="false">IFERROR(F323/MAX(C323-D323,1),0)</f>
        <v>1.6856606136506</v>
      </c>
      <c r="P323" s="5" t="n">
        <f aca="false">IFERROR(F323/C323,0)</f>
        <v>1.5872641509434</v>
      </c>
      <c r="Q323" s="5" t="n">
        <f aca="false">IFERROR(H323/C323,0)</f>
        <v>420.981721698113</v>
      </c>
      <c r="R323" s="4" t="n">
        <f aca="false">IFERROR(I323/F323,0)</f>
        <v>0.208395245170877</v>
      </c>
      <c r="S323" s="4" t="n">
        <f aca="false">IFERROR(K323/J323,0)</f>
        <v>0.228175322934246</v>
      </c>
      <c r="T323" s="6" t="s">
        <v>23</v>
      </c>
    </row>
    <row r="324" customFormat="false" ht="15" hidden="false" customHeight="false" outlineLevel="0" collapsed="false">
      <c r="A324" s="3" t="s">
        <v>357</v>
      </c>
      <c r="B324" s="3" t="s">
        <v>26</v>
      </c>
      <c r="C324" s="3" t="n">
        <v>2560</v>
      </c>
      <c r="D324" s="3" t="n">
        <v>217</v>
      </c>
      <c r="E324" s="3" t="n">
        <v>1073</v>
      </c>
      <c r="F324" s="3" t="n">
        <v>5077</v>
      </c>
      <c r="G324" s="3" t="n">
        <v>10</v>
      </c>
      <c r="H324" s="3" t="n">
        <v>526358.2</v>
      </c>
      <c r="I324" s="3" t="n">
        <v>1012</v>
      </c>
      <c r="J324" s="3" t="n">
        <v>382890</v>
      </c>
      <c r="K324" s="3" t="n">
        <v>74340</v>
      </c>
      <c r="L324" s="3" t="n">
        <v>337</v>
      </c>
      <c r="M324" s="4" t="n">
        <f aca="false">IFERROR(D324/C324,0)</f>
        <v>0.084765625</v>
      </c>
      <c r="N324" s="4" t="n">
        <f aca="false">IFERROR(E324/C324,0)</f>
        <v>0.419140625</v>
      </c>
      <c r="O324" s="5" t="n">
        <f aca="false">IFERROR(F324/MAX(C324-D324,1),0)</f>
        <v>2.16688006828852</v>
      </c>
      <c r="P324" s="5" t="n">
        <f aca="false">IFERROR(F324/C324,0)</f>
        <v>1.983203125</v>
      </c>
      <c r="Q324" s="5" t="n">
        <f aca="false">IFERROR(H324/C324,0)</f>
        <v>205.608671875</v>
      </c>
      <c r="R324" s="4" t="n">
        <f aca="false">IFERROR(I324/F324,0)</f>
        <v>0.199330313177073</v>
      </c>
      <c r="S324" s="4" t="n">
        <f aca="false">IFERROR(K324/J324,0)</f>
        <v>0.194154979236857</v>
      </c>
      <c r="T324" s="6" t="s">
        <v>23</v>
      </c>
    </row>
    <row r="325" customFormat="false" ht="15" hidden="false" customHeight="false" outlineLevel="0" collapsed="false">
      <c r="A325" s="3" t="s">
        <v>358</v>
      </c>
      <c r="B325" s="3" t="s">
        <v>29</v>
      </c>
      <c r="C325" s="3" t="n">
        <v>476</v>
      </c>
      <c r="D325" s="3" t="n">
        <v>37</v>
      </c>
      <c r="E325" s="3" t="n">
        <v>181</v>
      </c>
      <c r="F325" s="3" t="n">
        <v>595</v>
      </c>
      <c r="G325" s="3" t="n">
        <v>5</v>
      </c>
      <c r="H325" s="3" t="n">
        <v>73137.4</v>
      </c>
      <c r="I325" s="3" t="n">
        <v>113</v>
      </c>
      <c r="J325" s="3" t="n">
        <v>74801</v>
      </c>
      <c r="K325" s="3" t="n">
        <v>15967</v>
      </c>
      <c r="L325" s="3" t="n">
        <v>0</v>
      </c>
      <c r="M325" s="4" t="n">
        <f aca="false">IFERROR(D325/C325,0)</f>
        <v>0.0777310924369748</v>
      </c>
      <c r="N325" s="4" t="n">
        <f aca="false">IFERROR(E325/C325,0)</f>
        <v>0.380252100840336</v>
      </c>
      <c r="O325" s="5" t="n">
        <f aca="false">IFERROR(F325/MAX(C325-D325,1),0)</f>
        <v>1.35535307517084</v>
      </c>
      <c r="P325" s="5" t="n">
        <f aca="false">IFERROR(F325/C325,0)</f>
        <v>1.25</v>
      </c>
      <c r="Q325" s="5" t="n">
        <f aca="false">IFERROR(H325/C325,0)</f>
        <v>153.65</v>
      </c>
      <c r="R325" s="4" t="n">
        <f aca="false">IFERROR(I325/F325,0)</f>
        <v>0.189915966386555</v>
      </c>
      <c r="S325" s="4" t="n">
        <f aca="false">IFERROR(K325/J325,0)</f>
        <v>0.21345971310544</v>
      </c>
      <c r="T325" s="6" t="s">
        <v>23</v>
      </c>
    </row>
    <row r="326" customFormat="false" ht="15" hidden="false" customHeight="false" outlineLevel="0" collapsed="false">
      <c r="A326" s="3" t="s">
        <v>359</v>
      </c>
      <c r="B326" s="3" t="s">
        <v>29</v>
      </c>
      <c r="C326" s="3" t="n">
        <v>615</v>
      </c>
      <c r="D326" s="3" t="n">
        <v>70</v>
      </c>
      <c r="E326" s="3" t="n">
        <v>193</v>
      </c>
      <c r="F326" s="3" t="n">
        <v>2100</v>
      </c>
      <c r="G326" s="3" t="n">
        <v>13</v>
      </c>
      <c r="H326" s="3" t="n">
        <v>206642.6</v>
      </c>
      <c r="I326" s="3" t="n">
        <v>502</v>
      </c>
      <c r="J326" s="3" t="n">
        <v>56042</v>
      </c>
      <c r="K326" s="3" t="n">
        <v>15924</v>
      </c>
      <c r="L326" s="3" t="n">
        <v>0</v>
      </c>
      <c r="M326" s="4" t="n">
        <f aca="false">IFERROR(D326/C326,0)</f>
        <v>0.113821138211382</v>
      </c>
      <c r="N326" s="4" t="n">
        <f aca="false">IFERROR(E326/C326,0)</f>
        <v>0.313821138211382</v>
      </c>
      <c r="O326" s="5" t="n">
        <f aca="false">IFERROR(F326/MAX(C326-D326,1),0)</f>
        <v>3.85321100917431</v>
      </c>
      <c r="P326" s="5" t="n">
        <f aca="false">IFERROR(F326/C326,0)</f>
        <v>3.41463414634146</v>
      </c>
      <c r="Q326" s="5" t="n">
        <f aca="false">IFERROR(H326/C326,0)</f>
        <v>336.004227642276</v>
      </c>
      <c r="R326" s="4" t="n">
        <f aca="false">IFERROR(I326/F326,0)</f>
        <v>0.239047619047619</v>
      </c>
      <c r="S326" s="4" t="n">
        <f aca="false">IFERROR(K326/J326,0)</f>
        <v>0.28414403483102</v>
      </c>
      <c r="T326" s="6" t="s">
        <v>23</v>
      </c>
    </row>
    <row r="327" customFormat="false" ht="15" hidden="false" customHeight="false" outlineLevel="0" collapsed="false">
      <c r="A327" s="3" t="s">
        <v>360</v>
      </c>
      <c r="B327" s="3" t="s">
        <v>22</v>
      </c>
      <c r="C327" s="3" t="n">
        <v>1646</v>
      </c>
      <c r="D327" s="3" t="n">
        <v>177</v>
      </c>
      <c r="E327" s="3" t="n">
        <v>608</v>
      </c>
      <c r="F327" s="3" t="n">
        <v>4965</v>
      </c>
      <c r="G327" s="3" t="n">
        <v>11</v>
      </c>
      <c r="H327" s="3" t="n">
        <v>504123.3</v>
      </c>
      <c r="I327" s="3" t="n">
        <v>926</v>
      </c>
      <c r="J327" s="3" t="n">
        <v>284275</v>
      </c>
      <c r="K327" s="3" t="n">
        <v>54430</v>
      </c>
      <c r="L327" s="3" t="n">
        <v>792</v>
      </c>
      <c r="M327" s="4" t="n">
        <f aca="false">IFERROR(D327/C327,0)</f>
        <v>0.107533414337789</v>
      </c>
      <c r="N327" s="4" t="n">
        <f aca="false">IFERROR(E327/C327,0)</f>
        <v>0.369380315917375</v>
      </c>
      <c r="O327" s="5" t="n">
        <f aca="false">IFERROR(F327/MAX(C327-D327,1),0)</f>
        <v>3.37985023825732</v>
      </c>
      <c r="P327" s="5" t="n">
        <f aca="false">IFERROR(F327/C327,0)</f>
        <v>3.01640340218712</v>
      </c>
      <c r="Q327" s="5" t="n">
        <f aca="false">IFERROR(H327/C327,0)</f>
        <v>306.271749696233</v>
      </c>
      <c r="R327" s="4" t="n">
        <f aca="false">IFERROR(I327/F327,0)</f>
        <v>0.1865055387714</v>
      </c>
      <c r="S327" s="4" t="n">
        <f aca="false">IFERROR(K327/J327,0)</f>
        <v>0.191469527746021</v>
      </c>
      <c r="T327" s="6" t="s">
        <v>23</v>
      </c>
    </row>
    <row r="328" customFormat="false" ht="15" hidden="false" customHeight="false" outlineLevel="0" collapsed="false">
      <c r="A328" s="3" t="s">
        <v>361</v>
      </c>
      <c r="B328" s="3" t="s">
        <v>26</v>
      </c>
      <c r="C328" s="3" t="n">
        <v>1204</v>
      </c>
      <c r="D328" s="3" t="n">
        <v>136</v>
      </c>
      <c r="E328" s="3" t="n">
        <v>467</v>
      </c>
      <c r="F328" s="3" t="n">
        <v>2548</v>
      </c>
      <c r="G328" s="3" t="n">
        <v>3</v>
      </c>
      <c r="H328" s="3" t="n">
        <v>468108.4</v>
      </c>
      <c r="I328" s="3" t="n">
        <v>569</v>
      </c>
      <c r="J328" s="3" t="n">
        <v>146763</v>
      </c>
      <c r="K328" s="3" t="n">
        <v>33245</v>
      </c>
      <c r="L328" s="3" t="n">
        <v>248</v>
      </c>
      <c r="M328" s="4" t="n">
        <f aca="false">IFERROR(D328/C328,0)</f>
        <v>0.112956810631229</v>
      </c>
      <c r="N328" s="4" t="n">
        <f aca="false">IFERROR(E328/C328,0)</f>
        <v>0.387873754152824</v>
      </c>
      <c r="O328" s="5" t="n">
        <f aca="false">IFERROR(F328/MAX(C328-D328,1),0)</f>
        <v>2.38576779026217</v>
      </c>
      <c r="P328" s="5" t="n">
        <f aca="false">IFERROR(F328/C328,0)</f>
        <v>2.11627906976744</v>
      </c>
      <c r="Q328" s="5" t="n">
        <f aca="false">IFERROR(H328/C328,0)</f>
        <v>388.794352159469</v>
      </c>
      <c r="R328" s="4" t="n">
        <f aca="false">IFERROR(I328/F328,0)</f>
        <v>0.22331240188383</v>
      </c>
      <c r="S328" s="4" t="n">
        <f aca="false">IFERROR(K328/J328,0)</f>
        <v>0.22652167099337</v>
      </c>
      <c r="T328" s="6" t="s">
        <v>23</v>
      </c>
    </row>
    <row r="329" customFormat="false" ht="15" hidden="false" customHeight="false" outlineLevel="0" collapsed="false">
      <c r="A329" s="3" t="s">
        <v>362</v>
      </c>
      <c r="B329" s="3" t="s">
        <v>29</v>
      </c>
      <c r="C329" s="3" t="n">
        <v>1340</v>
      </c>
      <c r="D329" s="3" t="n">
        <v>105</v>
      </c>
      <c r="E329" s="3" t="n">
        <v>331</v>
      </c>
      <c r="F329" s="3" t="n">
        <v>2404</v>
      </c>
      <c r="G329" s="3" t="n">
        <v>8</v>
      </c>
      <c r="H329" s="3" t="n">
        <v>590953.4</v>
      </c>
      <c r="I329" s="3" t="n">
        <v>397</v>
      </c>
      <c r="J329" s="3" t="n">
        <v>184252</v>
      </c>
      <c r="K329" s="3" t="n">
        <v>40836</v>
      </c>
      <c r="L329" s="3" t="n">
        <v>0</v>
      </c>
      <c r="M329" s="4" t="n">
        <f aca="false">IFERROR(D329/C329,0)</f>
        <v>0.0783582089552239</v>
      </c>
      <c r="N329" s="4" t="n">
        <f aca="false">IFERROR(E329/C329,0)</f>
        <v>0.247014925373134</v>
      </c>
      <c r="O329" s="5" t="n">
        <f aca="false">IFERROR(F329/MAX(C329-D329,1),0)</f>
        <v>1.94655870445344</v>
      </c>
      <c r="P329" s="5" t="n">
        <f aca="false">IFERROR(F329/C329,0)</f>
        <v>1.79402985074627</v>
      </c>
      <c r="Q329" s="5" t="n">
        <f aca="false">IFERROR(H329/C329,0)</f>
        <v>441.01</v>
      </c>
      <c r="R329" s="4" t="n">
        <f aca="false">IFERROR(I329/F329,0)</f>
        <v>0.165141430948419</v>
      </c>
      <c r="S329" s="4" t="n">
        <f aca="false">IFERROR(K329/J329,0)</f>
        <v>0.221631244165599</v>
      </c>
      <c r="T329" s="6" t="s">
        <v>23</v>
      </c>
    </row>
    <row r="330" customFormat="false" ht="15" hidden="false" customHeight="false" outlineLevel="0" collapsed="false">
      <c r="A330" s="3" t="s">
        <v>363</v>
      </c>
      <c r="B330" s="3" t="s">
        <v>22</v>
      </c>
      <c r="C330" s="3" t="n">
        <v>1080</v>
      </c>
      <c r="D330" s="3" t="n">
        <v>129</v>
      </c>
      <c r="E330" s="3" t="n">
        <v>501</v>
      </c>
      <c r="F330" s="3" t="n">
        <v>3967</v>
      </c>
      <c r="G330" s="3" t="n">
        <v>19</v>
      </c>
      <c r="H330" s="3" t="n">
        <v>536421.2</v>
      </c>
      <c r="I330" s="3" t="n">
        <v>642</v>
      </c>
      <c r="J330" s="3" t="n">
        <v>114601</v>
      </c>
      <c r="K330" s="3" t="n">
        <v>27328</v>
      </c>
      <c r="L330" s="3" t="n">
        <v>562</v>
      </c>
      <c r="M330" s="4" t="n">
        <f aca="false">IFERROR(D330/C330,0)</f>
        <v>0.119444444444444</v>
      </c>
      <c r="N330" s="4" t="n">
        <f aca="false">IFERROR(E330/C330,0)</f>
        <v>0.463888888888889</v>
      </c>
      <c r="O330" s="5" t="n">
        <f aca="false">IFERROR(F330/MAX(C330-D330,1),0)</f>
        <v>4.17139852786541</v>
      </c>
      <c r="P330" s="5" t="n">
        <f aca="false">IFERROR(F330/C330,0)</f>
        <v>3.67314814814815</v>
      </c>
      <c r="Q330" s="5" t="n">
        <f aca="false">IFERROR(H330/C330,0)</f>
        <v>496.686296296296</v>
      </c>
      <c r="R330" s="4" t="n">
        <f aca="false">IFERROR(I330/F330,0)</f>
        <v>0.16183513990421</v>
      </c>
      <c r="S330" s="4" t="n">
        <f aca="false">IFERROR(K330/J330,0)</f>
        <v>0.238462142564201</v>
      </c>
      <c r="T330" s="6" t="s">
        <v>23</v>
      </c>
    </row>
    <row r="331" customFormat="false" ht="15" hidden="false" customHeight="false" outlineLevel="0" collapsed="false">
      <c r="A331" s="3" t="s">
        <v>364</v>
      </c>
      <c r="B331" s="3" t="s">
        <v>29</v>
      </c>
      <c r="C331" s="3" t="n">
        <v>3611</v>
      </c>
      <c r="D331" s="3" t="n">
        <v>269</v>
      </c>
      <c r="E331" s="3" t="n">
        <v>1086</v>
      </c>
      <c r="F331" s="3" t="n">
        <v>4727</v>
      </c>
      <c r="G331" s="3" t="n">
        <v>7</v>
      </c>
      <c r="H331" s="3" t="n">
        <v>920063.9</v>
      </c>
      <c r="I331" s="3" t="n">
        <v>908</v>
      </c>
      <c r="J331" s="3" t="n">
        <v>421681</v>
      </c>
      <c r="K331" s="3" t="n">
        <v>63917</v>
      </c>
      <c r="L331" s="3" t="n">
        <v>0</v>
      </c>
      <c r="M331" s="4" t="n">
        <f aca="false">IFERROR(D331/C331,0)</f>
        <v>0.0744945998338411</v>
      </c>
      <c r="N331" s="4" t="n">
        <f aca="false">IFERROR(E331/C331,0)</f>
        <v>0.300747715314317</v>
      </c>
      <c r="O331" s="5" t="n">
        <f aca="false">IFERROR(F331/MAX(C331-D331,1),0)</f>
        <v>1.41442250149611</v>
      </c>
      <c r="P331" s="5" t="n">
        <f aca="false">IFERROR(F331/C331,0)</f>
        <v>1.30905566325118</v>
      </c>
      <c r="Q331" s="5" t="n">
        <f aca="false">IFERROR(H331/C331,0)</f>
        <v>254.7947659928</v>
      </c>
      <c r="R331" s="4" t="n">
        <f aca="false">IFERROR(I331/F331,0)</f>
        <v>0.192088005077216</v>
      </c>
      <c r="S331" s="4" t="n">
        <f aca="false">IFERROR(K331/J331,0)</f>
        <v>0.151576665773416</v>
      </c>
      <c r="T331" s="6" t="s">
        <v>23</v>
      </c>
    </row>
    <row r="332" customFormat="false" ht="15" hidden="false" customHeight="false" outlineLevel="0" collapsed="false">
      <c r="A332" s="3" t="s">
        <v>365</v>
      </c>
      <c r="B332" s="3" t="s">
        <v>26</v>
      </c>
      <c r="C332" s="3" t="n">
        <v>918</v>
      </c>
      <c r="D332" s="3" t="n">
        <v>133</v>
      </c>
      <c r="E332" s="3" t="n">
        <v>361</v>
      </c>
      <c r="F332" s="3" t="n">
        <v>3084</v>
      </c>
      <c r="G332" s="3" t="n">
        <v>13</v>
      </c>
      <c r="H332" s="3" t="n">
        <v>492560.8</v>
      </c>
      <c r="I332" s="3" t="n">
        <v>746</v>
      </c>
      <c r="J332" s="3" t="n">
        <v>138524</v>
      </c>
      <c r="K332" s="3" t="n">
        <v>31335</v>
      </c>
      <c r="L332" s="3" t="n">
        <v>167</v>
      </c>
      <c r="M332" s="4" t="n">
        <f aca="false">IFERROR(D332/C332,0)</f>
        <v>0.144880174291939</v>
      </c>
      <c r="N332" s="4" t="n">
        <f aca="false">IFERROR(E332/C332,0)</f>
        <v>0.393246187363834</v>
      </c>
      <c r="O332" s="5" t="n">
        <f aca="false">IFERROR(F332/MAX(C332-D332,1),0)</f>
        <v>3.92866242038217</v>
      </c>
      <c r="P332" s="5" t="n">
        <f aca="false">IFERROR(F332/C332,0)</f>
        <v>3.35947712418301</v>
      </c>
      <c r="Q332" s="5" t="n">
        <f aca="false">IFERROR(H332/C332,0)</f>
        <v>536.558605664488</v>
      </c>
      <c r="R332" s="4" t="n">
        <f aca="false">IFERROR(I332/F332,0)</f>
        <v>0.24189364461738</v>
      </c>
      <c r="S332" s="4" t="n">
        <f aca="false">IFERROR(K332/J332,0)</f>
        <v>0.226206289162889</v>
      </c>
      <c r="T332" s="6" t="s">
        <v>23</v>
      </c>
    </row>
    <row r="333" customFormat="false" ht="15" hidden="false" customHeight="false" outlineLevel="0" collapsed="false">
      <c r="A333" s="3" t="s">
        <v>366</v>
      </c>
      <c r="B333" s="3" t="s">
        <v>26</v>
      </c>
      <c r="C333" s="3" t="n">
        <v>2103</v>
      </c>
      <c r="D333" s="3" t="n">
        <v>224</v>
      </c>
      <c r="E333" s="3" t="n">
        <v>656</v>
      </c>
      <c r="F333" s="3" t="n">
        <v>5592</v>
      </c>
      <c r="G333" s="3" t="n">
        <v>14</v>
      </c>
      <c r="H333" s="3" t="n">
        <v>856769.1</v>
      </c>
      <c r="I333" s="3" t="n">
        <v>874</v>
      </c>
      <c r="J333" s="3" t="n">
        <v>324528</v>
      </c>
      <c r="K333" s="3" t="n">
        <v>71930</v>
      </c>
      <c r="L333" s="3" t="n">
        <v>772</v>
      </c>
      <c r="M333" s="4" t="n">
        <f aca="false">IFERROR(D333/C333,0)</f>
        <v>0.106514503090823</v>
      </c>
      <c r="N333" s="4" t="n">
        <f aca="false">IFERROR(E333/C333,0)</f>
        <v>0.311935330480266</v>
      </c>
      <c r="O333" s="5" t="n">
        <f aca="false">IFERROR(F333/MAX(C333-D333,1),0)</f>
        <v>2.97605109100585</v>
      </c>
      <c r="P333" s="5" t="n">
        <f aca="false">IFERROR(F333/C333,0)</f>
        <v>2.65905848787447</v>
      </c>
      <c r="Q333" s="5" t="n">
        <f aca="false">IFERROR(H333/C333,0)</f>
        <v>407.403281027104</v>
      </c>
      <c r="R333" s="4" t="n">
        <f aca="false">IFERROR(I333/F333,0)</f>
        <v>0.156294706723891</v>
      </c>
      <c r="S333" s="4" t="n">
        <f aca="false">IFERROR(K333/J333,0)</f>
        <v>0.221644973623231</v>
      </c>
      <c r="T333" s="6" t="s">
        <v>23</v>
      </c>
    </row>
    <row r="334" customFormat="false" ht="15" hidden="false" customHeight="false" outlineLevel="0" collapsed="false">
      <c r="A334" s="3" t="s">
        <v>367</v>
      </c>
      <c r="B334" s="3" t="s">
        <v>29</v>
      </c>
      <c r="C334" s="3" t="n">
        <v>1909</v>
      </c>
      <c r="D334" s="3" t="n">
        <v>160</v>
      </c>
      <c r="E334" s="3" t="n">
        <v>590</v>
      </c>
      <c r="F334" s="3" t="n">
        <v>3496</v>
      </c>
      <c r="G334" s="3" t="n">
        <v>9</v>
      </c>
      <c r="H334" s="3" t="n">
        <v>739005.7</v>
      </c>
      <c r="I334" s="3" t="n">
        <v>586</v>
      </c>
      <c r="J334" s="3" t="n">
        <v>326201</v>
      </c>
      <c r="K334" s="3" t="n">
        <v>67117</v>
      </c>
      <c r="L334" s="3" t="n">
        <v>0</v>
      </c>
      <c r="M334" s="4" t="n">
        <f aca="false">IFERROR(D334/C334,0)</f>
        <v>0.0838135149292824</v>
      </c>
      <c r="N334" s="4" t="n">
        <f aca="false">IFERROR(E334/C334,0)</f>
        <v>0.309062336301729</v>
      </c>
      <c r="O334" s="5" t="n">
        <f aca="false">IFERROR(F334/MAX(C334-D334,1),0)</f>
        <v>1.99885648942253</v>
      </c>
      <c r="P334" s="5" t="n">
        <f aca="false">IFERROR(F334/C334,0)</f>
        <v>1.83132530120482</v>
      </c>
      <c r="Q334" s="5" t="n">
        <f aca="false">IFERROR(H334/C334,0)</f>
        <v>387.116657936092</v>
      </c>
      <c r="R334" s="4" t="n">
        <f aca="false">IFERROR(I334/F334,0)</f>
        <v>0.167620137299771</v>
      </c>
      <c r="S334" s="4" t="n">
        <f aca="false">IFERROR(K334/J334,0)</f>
        <v>0.205753507806536</v>
      </c>
      <c r="T334" s="6" t="s">
        <v>23</v>
      </c>
    </row>
    <row r="335" customFormat="false" ht="15" hidden="false" customHeight="false" outlineLevel="0" collapsed="false">
      <c r="A335" s="3" t="s">
        <v>368</v>
      </c>
      <c r="B335" s="3" t="s">
        <v>26</v>
      </c>
      <c r="C335" s="3" t="n">
        <v>3886</v>
      </c>
      <c r="D335" s="3" t="n">
        <v>534</v>
      </c>
      <c r="E335" s="3" t="n">
        <v>1784</v>
      </c>
      <c r="F335" s="3" t="n">
        <v>15251</v>
      </c>
      <c r="G335" s="3" t="n">
        <v>16</v>
      </c>
      <c r="H335" s="3" t="n">
        <v>2196037.1</v>
      </c>
      <c r="I335" s="3" t="n">
        <v>2831</v>
      </c>
      <c r="J335" s="3" t="n">
        <v>284770</v>
      </c>
      <c r="K335" s="3" t="n">
        <v>57230</v>
      </c>
      <c r="L335" s="3" t="n">
        <v>1560</v>
      </c>
      <c r="M335" s="4" t="n">
        <f aca="false">IFERROR(D335/C335,0)</f>
        <v>0.137416366443644</v>
      </c>
      <c r="N335" s="4" t="n">
        <f aca="false">IFERROR(E335/C335,0)</f>
        <v>0.459083890890376</v>
      </c>
      <c r="O335" s="5" t="n">
        <f aca="false">IFERROR(F335/MAX(C335-D335,1),0)</f>
        <v>4.54982100238664</v>
      </c>
      <c r="P335" s="5" t="n">
        <f aca="false">IFERROR(F335/C335,0)</f>
        <v>3.92460113226969</v>
      </c>
      <c r="Q335" s="5" t="n">
        <f aca="false">IFERROR(H335/C335,0)</f>
        <v>565.115054040144</v>
      </c>
      <c r="R335" s="4" t="n">
        <f aca="false">IFERROR(I335/F335,0)</f>
        <v>0.185627171988722</v>
      </c>
      <c r="S335" s="4" t="n">
        <f aca="false">IFERROR(K335/J335,0)</f>
        <v>0.200969203216631</v>
      </c>
      <c r="T335" s="6" t="s">
        <v>23</v>
      </c>
    </row>
    <row r="336" customFormat="false" ht="15" hidden="false" customHeight="false" outlineLevel="0" collapsed="false">
      <c r="A336" s="9" t="s">
        <v>369</v>
      </c>
      <c r="B336" s="9" t="s">
        <v>29</v>
      </c>
      <c r="C336" s="9" t="n">
        <v>2351</v>
      </c>
      <c r="D336" s="9" t="n">
        <v>461</v>
      </c>
      <c r="E336" s="9" t="n">
        <v>1149</v>
      </c>
      <c r="F336" s="9" t="n">
        <v>10486</v>
      </c>
      <c r="G336" s="9" t="n">
        <v>13</v>
      </c>
      <c r="H336" s="9" t="n">
        <v>1289191.7</v>
      </c>
      <c r="I336" s="9" t="n">
        <v>3909</v>
      </c>
      <c r="J336" s="9" t="n">
        <v>209783</v>
      </c>
      <c r="K336" s="9" t="n">
        <v>126428</v>
      </c>
      <c r="L336" s="9" t="n">
        <v>0</v>
      </c>
      <c r="M336" s="10" t="n">
        <f aca="false">IFERROR(D336/C336,0)</f>
        <v>0.196086771586559</v>
      </c>
      <c r="N336" s="10" t="n">
        <f aca="false">IFERROR(E336/C336,0)</f>
        <v>0.488728200765632</v>
      </c>
      <c r="O336" s="11" t="n">
        <f aca="false">IFERROR(F336/MAX(C336-D336,1),0)</f>
        <v>5.54814814814815</v>
      </c>
      <c r="P336" s="11" t="n">
        <f aca="false">IFERROR(F336/C336,0)</f>
        <v>4.46022968949383</v>
      </c>
      <c r="Q336" s="11" t="n">
        <f aca="false">IFERROR(H336/C336,0)</f>
        <v>548.358868566567</v>
      </c>
      <c r="R336" s="10" t="n">
        <f aca="false">IFERROR(I336/F336,0)</f>
        <v>0.372782757962998</v>
      </c>
      <c r="S336" s="10" t="n">
        <f aca="false">IFERROR(K336/J336,0)</f>
        <v>0.602660844777699</v>
      </c>
      <c r="T336" s="12" t="s">
        <v>30</v>
      </c>
    </row>
    <row r="337" customFormat="false" ht="15" hidden="false" customHeight="false" outlineLevel="0" collapsed="false">
      <c r="A337" s="3" t="s">
        <v>370</v>
      </c>
      <c r="B337" s="3" t="s">
        <v>22</v>
      </c>
      <c r="C337" s="3" t="n">
        <v>3680</v>
      </c>
      <c r="D337" s="3" t="n">
        <v>294</v>
      </c>
      <c r="E337" s="3" t="n">
        <v>1131</v>
      </c>
      <c r="F337" s="3" t="n">
        <v>10061</v>
      </c>
      <c r="G337" s="3" t="n">
        <v>9</v>
      </c>
      <c r="H337" s="3" t="n">
        <v>1008533.7</v>
      </c>
      <c r="I337" s="3" t="n">
        <v>1920</v>
      </c>
      <c r="J337" s="3" t="n">
        <v>411165</v>
      </c>
      <c r="K337" s="3" t="n">
        <v>66644</v>
      </c>
      <c r="L337" s="3" t="n">
        <v>858</v>
      </c>
      <c r="M337" s="4" t="n">
        <f aca="false">IFERROR(D337/C337,0)</f>
        <v>0.0798913043478261</v>
      </c>
      <c r="N337" s="4" t="n">
        <f aca="false">IFERROR(E337/C337,0)</f>
        <v>0.307336956521739</v>
      </c>
      <c r="O337" s="5" t="n">
        <f aca="false">IFERROR(F337/MAX(C337-D337,1),0)</f>
        <v>2.97135262847017</v>
      </c>
      <c r="P337" s="5" t="n">
        <f aca="false">IFERROR(F337/C337,0)</f>
        <v>2.73396739130435</v>
      </c>
      <c r="Q337" s="5" t="n">
        <f aca="false">IFERROR(H337/C337,0)</f>
        <v>274.058070652174</v>
      </c>
      <c r="R337" s="4" t="n">
        <f aca="false">IFERROR(I337/F337,0)</f>
        <v>0.190835901003876</v>
      </c>
      <c r="S337" s="4" t="n">
        <f aca="false">IFERROR(K337/J337,0)</f>
        <v>0.162085780647672</v>
      </c>
      <c r="T337" s="6" t="s">
        <v>23</v>
      </c>
    </row>
    <row r="338" customFormat="false" ht="15" hidden="false" customHeight="false" outlineLevel="0" collapsed="false">
      <c r="A338" s="3" t="s">
        <v>371</v>
      </c>
      <c r="B338" s="3" t="s">
        <v>22</v>
      </c>
      <c r="C338" s="3" t="n">
        <v>3793</v>
      </c>
      <c r="D338" s="3" t="n">
        <v>441</v>
      </c>
      <c r="E338" s="3" t="n">
        <v>1543</v>
      </c>
      <c r="F338" s="3" t="n">
        <v>10966</v>
      </c>
      <c r="G338" s="3" t="n">
        <v>12</v>
      </c>
      <c r="H338" s="3" t="n">
        <v>2380957.2</v>
      </c>
      <c r="I338" s="3" t="n">
        <v>2042</v>
      </c>
      <c r="J338" s="3" t="n">
        <v>412042</v>
      </c>
      <c r="K338" s="3" t="n">
        <v>62257</v>
      </c>
      <c r="L338" s="3" t="n">
        <v>920</v>
      </c>
      <c r="M338" s="4" t="n">
        <f aca="false">IFERROR(D338/C338,0)</f>
        <v>0.116266807276562</v>
      </c>
      <c r="N338" s="4" t="n">
        <f aca="false">IFERROR(E338/C338,0)</f>
        <v>0.40680200369101</v>
      </c>
      <c r="O338" s="5" t="n">
        <f aca="false">IFERROR(F338/MAX(C338-D338,1),0)</f>
        <v>3.27147971360382</v>
      </c>
      <c r="P338" s="5" t="n">
        <f aca="false">IFERROR(F338/C338,0)</f>
        <v>2.89111521223306</v>
      </c>
      <c r="Q338" s="5" t="n">
        <f aca="false">IFERROR(H338/C338,0)</f>
        <v>627.724017927762</v>
      </c>
      <c r="R338" s="4" t="n">
        <f aca="false">IFERROR(I338/F338,0)</f>
        <v>0.186211927776765</v>
      </c>
      <c r="S338" s="4" t="n">
        <f aca="false">IFERROR(K338/J338,0)</f>
        <v>0.151093820532858</v>
      </c>
      <c r="T338" s="6" t="s">
        <v>23</v>
      </c>
    </row>
    <row r="339" customFormat="false" ht="15" hidden="false" customHeight="false" outlineLevel="0" collapsed="false">
      <c r="A339" s="9" t="s">
        <v>372</v>
      </c>
      <c r="B339" s="9" t="s">
        <v>29</v>
      </c>
      <c r="C339" s="9" t="n">
        <v>2016</v>
      </c>
      <c r="D339" s="9" t="n">
        <v>659</v>
      </c>
      <c r="E339" s="9" t="n">
        <v>1200</v>
      </c>
      <c r="F339" s="9" t="n">
        <v>14240</v>
      </c>
      <c r="G339" s="9" t="n">
        <v>18</v>
      </c>
      <c r="H339" s="9" t="n">
        <v>2374881.4</v>
      </c>
      <c r="I339" s="9" t="n">
        <v>9699</v>
      </c>
      <c r="J339" s="9" t="n">
        <v>270822</v>
      </c>
      <c r="K339" s="9" t="n">
        <v>234320</v>
      </c>
      <c r="L339" s="9" t="n">
        <v>0</v>
      </c>
      <c r="M339" s="10" t="n">
        <f aca="false">IFERROR(D339/C339,0)</f>
        <v>0.326884920634921</v>
      </c>
      <c r="N339" s="10" t="n">
        <f aca="false">IFERROR(E339/C339,0)</f>
        <v>0.595238095238095</v>
      </c>
      <c r="O339" s="11" t="n">
        <f aca="false">IFERROR(F339/MAX(C339-D339,1),0)</f>
        <v>10.4937361827561</v>
      </c>
      <c r="P339" s="11" t="n">
        <f aca="false">IFERROR(F339/C339,0)</f>
        <v>7.06349206349206</v>
      </c>
      <c r="Q339" s="11" t="n">
        <f aca="false">IFERROR(H339/C339,0)</f>
        <v>1178.01656746032</v>
      </c>
      <c r="R339" s="10" t="n">
        <f aca="false">IFERROR(I339/F339,0)</f>
        <v>0.681109550561798</v>
      </c>
      <c r="S339" s="10" t="n">
        <f aca="false">IFERROR(K339/J339,0)</f>
        <v>0.865217744496385</v>
      </c>
      <c r="T339" s="12" t="s">
        <v>30</v>
      </c>
    </row>
    <row r="340" customFormat="false" ht="15" hidden="false" customHeight="false" outlineLevel="0" collapsed="false">
      <c r="A340" s="3" t="s">
        <v>373</v>
      </c>
      <c r="B340" s="3" t="s">
        <v>29</v>
      </c>
      <c r="C340" s="3" t="n">
        <v>3811</v>
      </c>
      <c r="D340" s="3" t="n">
        <v>329</v>
      </c>
      <c r="E340" s="3" t="n">
        <v>1551</v>
      </c>
      <c r="F340" s="3" t="n">
        <v>12471</v>
      </c>
      <c r="G340" s="3" t="n">
        <v>16</v>
      </c>
      <c r="H340" s="3" t="n">
        <v>1677300</v>
      </c>
      <c r="I340" s="3" t="n">
        <v>3147</v>
      </c>
      <c r="J340" s="3" t="n">
        <v>356773</v>
      </c>
      <c r="K340" s="3" t="n">
        <v>63773</v>
      </c>
      <c r="L340" s="3" t="n">
        <v>0</v>
      </c>
      <c r="M340" s="4" t="n">
        <f aca="false">IFERROR(D340/C340,0)</f>
        <v>0.086329047494096</v>
      </c>
      <c r="N340" s="4" t="n">
        <f aca="false">IFERROR(E340/C340,0)</f>
        <v>0.40697979532931</v>
      </c>
      <c r="O340" s="5" t="n">
        <f aca="false">IFERROR(F340/MAX(C340-D340,1),0)</f>
        <v>3.58156232050546</v>
      </c>
      <c r="P340" s="5" t="n">
        <f aca="false">IFERROR(F340/C340,0)</f>
        <v>3.27236945683548</v>
      </c>
      <c r="Q340" s="5" t="n">
        <f aca="false">IFERROR(H340/C340,0)</f>
        <v>440.120703227499</v>
      </c>
      <c r="R340" s="4" t="n">
        <f aca="false">IFERROR(I340/F340,0)</f>
        <v>0.252345441424104</v>
      </c>
      <c r="S340" s="4" t="n">
        <f aca="false">IFERROR(K340/J340,0)</f>
        <v>0.178749512995658</v>
      </c>
      <c r="T340" s="6" t="s">
        <v>23</v>
      </c>
    </row>
    <row r="341" customFormat="false" ht="15" hidden="false" customHeight="false" outlineLevel="0" collapsed="false">
      <c r="A341" s="9" t="s">
        <v>374</v>
      </c>
      <c r="B341" s="9" t="s">
        <v>29</v>
      </c>
      <c r="C341" s="9" t="n">
        <v>415</v>
      </c>
      <c r="D341" s="9" t="n">
        <v>159</v>
      </c>
      <c r="E341" s="9" t="n">
        <v>228</v>
      </c>
      <c r="F341" s="9" t="n">
        <v>3382</v>
      </c>
      <c r="G341" s="9" t="n">
        <v>31</v>
      </c>
      <c r="H341" s="9" t="n">
        <v>455107.7</v>
      </c>
      <c r="I341" s="9" t="n">
        <v>1923</v>
      </c>
      <c r="J341" s="9" t="n">
        <v>37614</v>
      </c>
      <c r="K341" s="9" t="n">
        <v>30709</v>
      </c>
      <c r="L341" s="9" t="n">
        <v>0</v>
      </c>
      <c r="M341" s="10" t="n">
        <f aca="false">IFERROR(D341/C341,0)</f>
        <v>0.383132530120482</v>
      </c>
      <c r="N341" s="10" t="n">
        <f aca="false">IFERROR(E341/C341,0)</f>
        <v>0.549397590361446</v>
      </c>
      <c r="O341" s="11" t="n">
        <f aca="false">IFERROR(F341/MAX(C341-D341,1),0)</f>
        <v>13.2109375</v>
      </c>
      <c r="P341" s="11" t="n">
        <f aca="false">IFERROR(F341/C341,0)</f>
        <v>8.14939759036145</v>
      </c>
      <c r="Q341" s="11" t="n">
        <f aca="false">IFERROR(H341/C341,0)</f>
        <v>1096.64506024096</v>
      </c>
      <c r="R341" s="10" t="n">
        <f aca="false">IFERROR(I341/F341,0)</f>
        <v>0.568598462448256</v>
      </c>
      <c r="S341" s="10" t="n">
        <f aca="false">IFERROR(K341/J341,0)</f>
        <v>0.816424735470835</v>
      </c>
      <c r="T341" s="12" t="s">
        <v>30</v>
      </c>
    </row>
    <row r="342" customFormat="false" ht="15" hidden="false" customHeight="false" outlineLevel="0" collapsed="false">
      <c r="A342" s="3" t="s">
        <v>375</v>
      </c>
      <c r="B342" s="3" t="s">
        <v>26</v>
      </c>
      <c r="C342" s="3" t="n">
        <v>3614</v>
      </c>
      <c r="D342" s="3" t="n">
        <v>577</v>
      </c>
      <c r="E342" s="3" t="n">
        <v>1632</v>
      </c>
      <c r="F342" s="3" t="n">
        <v>12435</v>
      </c>
      <c r="G342" s="3" t="n">
        <v>14</v>
      </c>
      <c r="H342" s="3" t="n">
        <v>1783624.5</v>
      </c>
      <c r="I342" s="3" t="n">
        <v>2593</v>
      </c>
      <c r="J342" s="3" t="n">
        <v>381406</v>
      </c>
      <c r="K342" s="3" t="n">
        <v>105970</v>
      </c>
      <c r="L342" s="3" t="n">
        <v>1519</v>
      </c>
      <c r="M342" s="4" t="n">
        <f aca="false">IFERROR(D342/C342,0)</f>
        <v>0.159656889872717</v>
      </c>
      <c r="N342" s="4" t="n">
        <f aca="false">IFERROR(E342/C342,0)</f>
        <v>0.451577199778639</v>
      </c>
      <c r="O342" s="5" t="n">
        <f aca="false">IFERROR(F342/MAX(C342-D342,1),0)</f>
        <v>4.09450115245308</v>
      </c>
      <c r="P342" s="5" t="n">
        <f aca="false">IFERROR(F342/C342,0)</f>
        <v>3.44078583287216</v>
      </c>
      <c r="Q342" s="5" t="n">
        <f aca="false">IFERROR(H342/C342,0)</f>
        <v>493.531959048146</v>
      </c>
      <c r="R342" s="4" t="n">
        <f aca="false">IFERROR(I342/F342,0)</f>
        <v>0.208524326497789</v>
      </c>
      <c r="S342" s="4" t="n">
        <f aca="false">IFERROR(K342/J342,0)</f>
        <v>0.277840411529971</v>
      </c>
      <c r="T342" s="6" t="s">
        <v>23</v>
      </c>
    </row>
    <row r="343" customFormat="false" ht="15" hidden="false" customHeight="false" outlineLevel="0" collapsed="false">
      <c r="A343" s="9" t="s">
        <v>376</v>
      </c>
      <c r="B343" s="9" t="s">
        <v>29</v>
      </c>
      <c r="C343" s="9" t="n">
        <v>3551</v>
      </c>
      <c r="D343" s="9" t="n">
        <v>746</v>
      </c>
      <c r="E343" s="9" t="n">
        <v>1390</v>
      </c>
      <c r="F343" s="9" t="n">
        <v>29351</v>
      </c>
      <c r="G343" s="9" t="n">
        <v>24</v>
      </c>
      <c r="H343" s="9" t="n">
        <v>3603326</v>
      </c>
      <c r="I343" s="9" t="n">
        <v>17480</v>
      </c>
      <c r="J343" s="9" t="n">
        <v>569973</v>
      </c>
      <c r="K343" s="9" t="n">
        <v>443880</v>
      </c>
      <c r="L343" s="9" t="n">
        <v>0</v>
      </c>
      <c r="M343" s="10" t="n">
        <f aca="false">IFERROR(D343/C343,0)</f>
        <v>0.210081667136018</v>
      </c>
      <c r="N343" s="10" t="n">
        <f aca="false">IFERROR(E343/C343,0)</f>
        <v>0.3914390312588</v>
      </c>
      <c r="O343" s="11" t="n">
        <f aca="false">IFERROR(F343/MAX(C343-D343,1),0)</f>
        <v>10.4638146167558</v>
      </c>
      <c r="P343" s="11" t="n">
        <f aca="false">IFERROR(F343/C343,0)</f>
        <v>8.2655589974655</v>
      </c>
      <c r="Q343" s="11" t="n">
        <f aca="false">IFERROR(H343/C343,0)</f>
        <v>1014.73556744579</v>
      </c>
      <c r="R343" s="10" t="n">
        <f aca="false">IFERROR(I343/F343,0)</f>
        <v>0.595550407141154</v>
      </c>
      <c r="S343" s="10" t="n">
        <f aca="false">IFERROR(K343/J343,0)</f>
        <v>0.778773731387276</v>
      </c>
      <c r="T343" s="12" t="s">
        <v>30</v>
      </c>
    </row>
    <row r="344" customFormat="false" ht="15" hidden="false" customHeight="false" outlineLevel="0" collapsed="false">
      <c r="A344" s="3" t="s">
        <v>377</v>
      </c>
      <c r="B344" s="3" t="s">
        <v>29</v>
      </c>
      <c r="C344" s="3" t="n">
        <v>3936</v>
      </c>
      <c r="D344" s="3" t="n">
        <v>613</v>
      </c>
      <c r="E344" s="3" t="n">
        <v>1887</v>
      </c>
      <c r="F344" s="3" t="n">
        <v>13666</v>
      </c>
      <c r="G344" s="3" t="n">
        <v>14</v>
      </c>
      <c r="H344" s="3" t="n">
        <v>1677500.8</v>
      </c>
      <c r="I344" s="3" t="n">
        <v>2790</v>
      </c>
      <c r="J344" s="3" t="n">
        <v>368517</v>
      </c>
      <c r="K344" s="3" t="n">
        <v>95748</v>
      </c>
      <c r="L344" s="3" t="n">
        <v>0</v>
      </c>
      <c r="M344" s="4" t="n">
        <f aca="false">IFERROR(D344/C344,0)</f>
        <v>0.155741869918699</v>
      </c>
      <c r="N344" s="4" t="n">
        <f aca="false">IFERROR(E344/C344,0)</f>
        <v>0.479420731707317</v>
      </c>
      <c r="O344" s="5" t="n">
        <f aca="false">IFERROR(F344/MAX(C344-D344,1),0)</f>
        <v>4.11254890159494</v>
      </c>
      <c r="P344" s="5" t="n">
        <f aca="false">IFERROR(F344/C344,0)</f>
        <v>3.47205284552846</v>
      </c>
      <c r="Q344" s="5" t="n">
        <f aca="false">IFERROR(H344/C344,0)</f>
        <v>426.194308943089</v>
      </c>
      <c r="R344" s="4" t="n">
        <f aca="false">IFERROR(I344/F344,0)</f>
        <v>0.204156300307332</v>
      </c>
      <c r="S344" s="4" t="n">
        <f aca="false">IFERROR(K344/J344,0)</f>
        <v>0.25981976408144</v>
      </c>
      <c r="T344" s="6" t="s">
        <v>23</v>
      </c>
    </row>
    <row r="345" customFormat="false" ht="15" hidden="false" customHeight="false" outlineLevel="0" collapsed="false">
      <c r="A345" s="9" t="s">
        <v>378</v>
      </c>
      <c r="B345" s="9" t="s">
        <v>29</v>
      </c>
      <c r="C345" s="9" t="n">
        <v>3201</v>
      </c>
      <c r="D345" s="9" t="n">
        <v>944</v>
      </c>
      <c r="E345" s="9" t="n">
        <v>1708</v>
      </c>
      <c r="F345" s="9" t="n">
        <v>28563</v>
      </c>
      <c r="G345" s="9" t="n">
        <v>21</v>
      </c>
      <c r="H345" s="9" t="n">
        <v>2347540.3</v>
      </c>
      <c r="I345" s="9" t="n">
        <v>21971</v>
      </c>
      <c r="J345" s="9" t="n">
        <v>281099</v>
      </c>
      <c r="K345" s="9" t="n">
        <v>194773</v>
      </c>
      <c r="L345" s="9" t="n">
        <v>0</v>
      </c>
      <c r="M345" s="10" t="n">
        <f aca="false">IFERROR(D345/C345,0)</f>
        <v>0.294907841299594</v>
      </c>
      <c r="N345" s="10" t="n">
        <f aca="false">IFERROR(E345/C345,0)</f>
        <v>0.53358325523274</v>
      </c>
      <c r="O345" s="11" t="n">
        <f aca="false">IFERROR(F345/MAX(C345-D345,1),0)</f>
        <v>12.6552946389012</v>
      </c>
      <c r="P345" s="11" t="n">
        <f aca="false">IFERROR(F345/C345,0)</f>
        <v>8.92314901593252</v>
      </c>
      <c r="Q345" s="11" t="n">
        <f aca="false">IFERROR(H345/C345,0)</f>
        <v>733.377163386442</v>
      </c>
      <c r="R345" s="10" t="n">
        <f aca="false">IFERROR(I345/F345,0)</f>
        <v>0.769211917515667</v>
      </c>
      <c r="S345" s="10" t="n">
        <f aca="false">IFERROR(K345/J345,0)</f>
        <v>0.69289823158389</v>
      </c>
      <c r="T345" s="12" t="s">
        <v>30</v>
      </c>
    </row>
    <row r="346" customFormat="false" ht="15" hidden="false" customHeight="false" outlineLevel="0" collapsed="false">
      <c r="A346" s="9" t="s">
        <v>379</v>
      </c>
      <c r="B346" s="9" t="s">
        <v>22</v>
      </c>
      <c r="C346" s="9" t="n">
        <v>1085</v>
      </c>
      <c r="D346" s="9" t="n">
        <v>224</v>
      </c>
      <c r="E346" s="9" t="n">
        <v>441</v>
      </c>
      <c r="F346" s="9" t="n">
        <v>4025</v>
      </c>
      <c r="G346" s="9" t="n">
        <v>10</v>
      </c>
      <c r="H346" s="9" t="n">
        <v>875120.9</v>
      </c>
      <c r="I346" s="9" t="n">
        <v>2290</v>
      </c>
      <c r="J346" s="9" t="n">
        <v>163069</v>
      </c>
      <c r="K346" s="9" t="n">
        <v>105842</v>
      </c>
      <c r="L346" s="9" t="n">
        <v>210</v>
      </c>
      <c r="M346" s="10" t="n">
        <f aca="false">IFERROR(D346/C346,0)</f>
        <v>0.206451612903226</v>
      </c>
      <c r="N346" s="10" t="n">
        <f aca="false">IFERROR(E346/C346,0)</f>
        <v>0.406451612903226</v>
      </c>
      <c r="O346" s="11" t="n">
        <f aca="false">IFERROR(F346/MAX(C346-D346,1),0)</f>
        <v>4.67479674796748</v>
      </c>
      <c r="P346" s="11" t="n">
        <f aca="false">IFERROR(F346/C346,0)</f>
        <v>3.70967741935484</v>
      </c>
      <c r="Q346" s="11" t="n">
        <f aca="false">IFERROR(H346/C346,0)</f>
        <v>806.563041474654</v>
      </c>
      <c r="R346" s="10" t="n">
        <f aca="false">IFERROR(I346/F346,0)</f>
        <v>0.568944099378882</v>
      </c>
      <c r="S346" s="10" t="n">
        <f aca="false">IFERROR(K346/J346,0)</f>
        <v>0.649062666723902</v>
      </c>
      <c r="T346" s="12" t="s">
        <v>30</v>
      </c>
    </row>
    <row r="347" customFormat="false" ht="15" hidden="false" customHeight="false" outlineLevel="0" collapsed="false">
      <c r="A347" s="9" t="s">
        <v>380</v>
      </c>
      <c r="B347" s="9" t="s">
        <v>26</v>
      </c>
      <c r="C347" s="9" t="n">
        <v>2876</v>
      </c>
      <c r="D347" s="9" t="n">
        <v>557</v>
      </c>
      <c r="E347" s="9" t="n">
        <v>1264</v>
      </c>
      <c r="F347" s="9" t="n">
        <v>21259</v>
      </c>
      <c r="G347" s="9" t="n">
        <v>22</v>
      </c>
      <c r="H347" s="9" t="n">
        <v>2602313.4</v>
      </c>
      <c r="I347" s="9" t="n">
        <v>14593</v>
      </c>
      <c r="J347" s="9" t="n">
        <v>222452</v>
      </c>
      <c r="K347" s="9" t="n">
        <v>158197</v>
      </c>
      <c r="L347" s="9" t="n">
        <v>516</v>
      </c>
      <c r="M347" s="10" t="n">
        <f aca="false">IFERROR(D347/C347,0)</f>
        <v>0.193671766342142</v>
      </c>
      <c r="N347" s="10" t="n">
        <f aca="false">IFERROR(E347/C347,0)</f>
        <v>0.439499304589708</v>
      </c>
      <c r="O347" s="11" t="n">
        <f aca="false">IFERROR(F347/MAX(C347-D347,1),0)</f>
        <v>9.16731349719707</v>
      </c>
      <c r="P347" s="11" t="n">
        <f aca="false">IFERROR(F347/C347,0)</f>
        <v>7.39186369958275</v>
      </c>
      <c r="Q347" s="11" t="n">
        <f aca="false">IFERROR(H347/C347,0)</f>
        <v>904.83776077886</v>
      </c>
      <c r="R347" s="10" t="n">
        <f aca="false">IFERROR(I347/F347,0)</f>
        <v>0.686438684792323</v>
      </c>
      <c r="S347" s="10" t="n">
        <f aca="false">IFERROR(K347/J347,0)</f>
        <v>0.71115116969054</v>
      </c>
      <c r="T347" s="12" t="s">
        <v>30</v>
      </c>
    </row>
    <row r="348" customFormat="false" ht="15" hidden="false" customHeight="false" outlineLevel="0" collapsed="false">
      <c r="A348" s="3" t="s">
        <v>381</v>
      </c>
      <c r="B348" s="3" t="s">
        <v>22</v>
      </c>
      <c r="C348" s="3" t="n">
        <v>3191</v>
      </c>
      <c r="D348" s="3" t="n">
        <v>143</v>
      </c>
      <c r="E348" s="3" t="n">
        <v>756</v>
      </c>
      <c r="F348" s="3" t="n">
        <v>6176</v>
      </c>
      <c r="G348" s="3" t="n">
        <v>6</v>
      </c>
      <c r="H348" s="3" t="n">
        <v>1129833.1</v>
      </c>
      <c r="I348" s="3" t="n">
        <v>680</v>
      </c>
      <c r="J348" s="3" t="n">
        <v>448922</v>
      </c>
      <c r="K348" s="3" t="n">
        <v>66872</v>
      </c>
      <c r="L348" s="3" t="n">
        <v>948</v>
      </c>
      <c r="M348" s="4" t="n">
        <f aca="false">IFERROR(D348/C348,0)</f>
        <v>0.0448135380758383</v>
      </c>
      <c r="N348" s="4" t="n">
        <f aca="false">IFERROR(E348/C348,0)</f>
        <v>0.236916327170166</v>
      </c>
      <c r="O348" s="5" t="n">
        <f aca="false">IFERROR(F348/MAX(C348-D348,1),0)</f>
        <v>2.02624671916011</v>
      </c>
      <c r="P348" s="5" t="n">
        <f aca="false">IFERROR(F348/C348,0)</f>
        <v>1.93544343465998</v>
      </c>
      <c r="Q348" s="5" t="n">
        <f aca="false">IFERROR(H348/C348,0)</f>
        <v>354.068661861485</v>
      </c>
      <c r="R348" s="4" t="n">
        <f aca="false">IFERROR(I348/F348,0)</f>
        <v>0.110103626943005</v>
      </c>
      <c r="S348" s="4" t="n">
        <f aca="false">IFERROR(K348/J348,0)</f>
        <v>0.148961289489043</v>
      </c>
      <c r="T348" s="6" t="s">
        <v>23</v>
      </c>
    </row>
    <row r="349" customFormat="false" ht="15" hidden="false" customHeight="false" outlineLevel="0" collapsed="false">
      <c r="A349" s="3" t="s">
        <v>382</v>
      </c>
      <c r="B349" s="3" t="s">
        <v>26</v>
      </c>
      <c r="C349" s="3" t="n">
        <v>2974</v>
      </c>
      <c r="D349" s="3" t="n">
        <v>233</v>
      </c>
      <c r="E349" s="3" t="n">
        <v>1155</v>
      </c>
      <c r="F349" s="3" t="n">
        <v>3953</v>
      </c>
      <c r="G349" s="3" t="n">
        <v>6</v>
      </c>
      <c r="H349" s="3" t="n">
        <v>1554947.1</v>
      </c>
      <c r="I349" s="3" t="n">
        <v>759</v>
      </c>
      <c r="J349" s="3" t="n">
        <v>404514</v>
      </c>
      <c r="K349" s="3" t="n">
        <v>67911</v>
      </c>
      <c r="L349" s="3" t="n">
        <v>454</v>
      </c>
      <c r="M349" s="4" t="n">
        <f aca="false">IFERROR(D349/C349,0)</f>
        <v>0.078345662407532</v>
      </c>
      <c r="N349" s="4" t="n">
        <f aca="false">IFERROR(E349/C349,0)</f>
        <v>0.388365837256221</v>
      </c>
      <c r="O349" s="5" t="n">
        <f aca="false">IFERROR(F349/MAX(C349-D349,1),0)</f>
        <v>1.44217438890916</v>
      </c>
      <c r="P349" s="5" t="n">
        <f aca="false">IFERROR(F349/C349,0)</f>
        <v>1.32918628110289</v>
      </c>
      <c r="Q349" s="5" t="n">
        <f aca="false">IFERROR(H349/C349,0)</f>
        <v>522.847041022192</v>
      </c>
      <c r="R349" s="4" t="n">
        <f aca="false">IFERROR(I349/F349,0)</f>
        <v>0.192006071338224</v>
      </c>
      <c r="S349" s="4" t="n">
        <f aca="false">IFERROR(K349/J349,0)</f>
        <v>0.167882941010694</v>
      </c>
      <c r="T349" s="6" t="s">
        <v>23</v>
      </c>
    </row>
    <row r="350" customFormat="false" ht="15" hidden="false" customHeight="false" outlineLevel="0" collapsed="false">
      <c r="A350" s="9" t="s">
        <v>383</v>
      </c>
      <c r="B350" s="9" t="s">
        <v>26</v>
      </c>
      <c r="C350" s="9" t="n">
        <v>3454</v>
      </c>
      <c r="D350" s="9" t="n">
        <v>805</v>
      </c>
      <c r="E350" s="9" t="n">
        <v>1496</v>
      </c>
      <c r="F350" s="9" t="n">
        <v>17570</v>
      </c>
      <c r="G350" s="9" t="n">
        <v>15</v>
      </c>
      <c r="H350" s="9" t="n">
        <v>3545429</v>
      </c>
      <c r="I350" s="9" t="n">
        <v>9317</v>
      </c>
      <c r="J350" s="9" t="n">
        <v>618463</v>
      </c>
      <c r="K350" s="9" t="n">
        <v>410151</v>
      </c>
      <c r="L350" s="9" t="n">
        <v>757</v>
      </c>
      <c r="M350" s="10" t="n">
        <f aca="false">IFERROR(D350/C350,0)</f>
        <v>0.23306311522872</v>
      </c>
      <c r="N350" s="10" t="n">
        <f aca="false">IFERROR(E350/C350,0)</f>
        <v>0.43312101910828</v>
      </c>
      <c r="O350" s="11" t="n">
        <f aca="false">IFERROR(F350/MAX(C350-D350,1),0)</f>
        <v>6.63269158172895</v>
      </c>
      <c r="P350" s="11" t="n">
        <f aca="false">IFERROR(F350/C350,0)</f>
        <v>5.0868558193399</v>
      </c>
      <c r="Q350" s="11" t="n">
        <f aca="false">IFERROR(H350/C350,0)</f>
        <v>1026.47046902142</v>
      </c>
      <c r="R350" s="10" t="n">
        <f aca="false">IFERROR(I350/F350,0)</f>
        <v>0.530278884462151</v>
      </c>
      <c r="S350" s="10" t="n">
        <f aca="false">IFERROR(K350/J350,0)</f>
        <v>0.663177910400461</v>
      </c>
      <c r="T350" s="12" t="s">
        <v>30</v>
      </c>
    </row>
    <row r="351" customFormat="false" ht="15" hidden="false" customHeight="false" outlineLevel="0" collapsed="false">
      <c r="A351" s="3" t="s">
        <v>384</v>
      </c>
      <c r="B351" s="3" t="s">
        <v>22</v>
      </c>
      <c r="C351" s="3" t="n">
        <v>269</v>
      </c>
      <c r="D351" s="3" t="n">
        <v>25</v>
      </c>
      <c r="E351" s="3" t="n">
        <v>111</v>
      </c>
      <c r="F351" s="3" t="n">
        <v>537</v>
      </c>
      <c r="G351" s="3" t="n">
        <v>6</v>
      </c>
      <c r="H351" s="3" t="n">
        <v>141047.6</v>
      </c>
      <c r="I351" s="3" t="n">
        <v>125</v>
      </c>
      <c r="J351" s="3" t="n">
        <v>24337</v>
      </c>
      <c r="K351" s="3" t="n">
        <v>1663</v>
      </c>
      <c r="L351" s="3" t="n">
        <v>79</v>
      </c>
      <c r="M351" s="4" t="n">
        <f aca="false">IFERROR(D351/C351,0)</f>
        <v>0.0929368029739777</v>
      </c>
      <c r="N351" s="4" t="n">
        <f aca="false">IFERROR(E351/C351,0)</f>
        <v>0.412639405204461</v>
      </c>
      <c r="O351" s="5" t="n">
        <f aca="false">IFERROR(F351/MAX(C351-D351,1),0)</f>
        <v>2.20081967213115</v>
      </c>
      <c r="P351" s="5" t="n">
        <f aca="false">IFERROR(F351/C351,0)</f>
        <v>1.99628252788104</v>
      </c>
      <c r="Q351" s="5" t="n">
        <f aca="false">IFERROR(H351/C351,0)</f>
        <v>524.340520446097</v>
      </c>
      <c r="R351" s="4" t="n">
        <f aca="false">IFERROR(I351/F351,0)</f>
        <v>0.232774674115456</v>
      </c>
      <c r="S351" s="4" t="n">
        <f aca="false">IFERROR(K351/J351,0)</f>
        <v>0.0683321691252003</v>
      </c>
      <c r="T351" s="6" t="s">
        <v>23</v>
      </c>
    </row>
    <row r="352" customFormat="false" ht="15" hidden="false" customHeight="false" outlineLevel="0" collapsed="false">
      <c r="A352" s="3" t="s">
        <v>385</v>
      </c>
      <c r="B352" s="3" t="s">
        <v>22</v>
      </c>
      <c r="C352" s="3" t="n">
        <v>321</v>
      </c>
      <c r="D352" s="3" t="n">
        <v>19</v>
      </c>
      <c r="E352" s="3" t="n">
        <v>115</v>
      </c>
      <c r="F352" s="3" t="n">
        <v>595</v>
      </c>
      <c r="G352" s="3" t="n">
        <v>7</v>
      </c>
      <c r="H352" s="3" t="n">
        <v>73448.8</v>
      </c>
      <c r="I352" s="3" t="n">
        <v>104</v>
      </c>
      <c r="J352" s="3" t="n">
        <v>53997</v>
      </c>
      <c r="K352" s="3" t="n">
        <v>8445</v>
      </c>
      <c r="L352" s="3" t="n">
        <v>73</v>
      </c>
      <c r="M352" s="4" t="n">
        <f aca="false">IFERROR(D352/C352,0)</f>
        <v>0.059190031152648</v>
      </c>
      <c r="N352" s="4" t="n">
        <f aca="false">IFERROR(E352/C352,0)</f>
        <v>0.358255451713396</v>
      </c>
      <c r="O352" s="5" t="n">
        <f aca="false">IFERROR(F352/MAX(C352-D352,1),0)</f>
        <v>1.97019867549669</v>
      </c>
      <c r="P352" s="5" t="n">
        <f aca="false">IFERROR(F352/C352,0)</f>
        <v>1.85358255451713</v>
      </c>
      <c r="Q352" s="5" t="n">
        <f aca="false">IFERROR(H352/C352,0)</f>
        <v>228.81246105919</v>
      </c>
      <c r="R352" s="4" t="n">
        <f aca="false">IFERROR(I352/F352,0)</f>
        <v>0.174789915966387</v>
      </c>
      <c r="S352" s="4" t="n">
        <f aca="false">IFERROR(K352/J352,0)</f>
        <v>0.156397577643202</v>
      </c>
      <c r="T352" s="6" t="s">
        <v>23</v>
      </c>
    </row>
    <row r="353" customFormat="false" ht="15" hidden="false" customHeight="false" outlineLevel="0" collapsed="false">
      <c r="A353" s="3" t="s">
        <v>386</v>
      </c>
      <c r="B353" s="3" t="s">
        <v>26</v>
      </c>
      <c r="C353" s="3" t="n">
        <v>2175</v>
      </c>
      <c r="D353" s="3" t="n">
        <v>54</v>
      </c>
      <c r="E353" s="3" t="n">
        <v>755</v>
      </c>
      <c r="F353" s="3" t="n">
        <v>3399</v>
      </c>
      <c r="G353" s="3" t="n">
        <v>10</v>
      </c>
      <c r="H353" s="3" t="n">
        <v>574574.7</v>
      </c>
      <c r="I353" s="3" t="n">
        <v>623</v>
      </c>
      <c r="J353" s="3" t="n">
        <v>350162</v>
      </c>
      <c r="K353" s="3" t="n">
        <v>48798</v>
      </c>
      <c r="L353" s="3" t="n">
        <v>572</v>
      </c>
      <c r="M353" s="4" t="n">
        <f aca="false">IFERROR(D353/C353,0)</f>
        <v>0.0248275862068966</v>
      </c>
      <c r="N353" s="4" t="n">
        <f aca="false">IFERROR(E353/C353,0)</f>
        <v>0.347126436781609</v>
      </c>
      <c r="O353" s="5" t="n">
        <f aca="false">IFERROR(F353/MAX(C353-D353,1),0)</f>
        <v>1.6025459688826</v>
      </c>
      <c r="P353" s="5" t="n">
        <f aca="false">IFERROR(F353/C353,0)</f>
        <v>1.56275862068966</v>
      </c>
      <c r="Q353" s="5" t="n">
        <f aca="false">IFERROR(H353/C353,0)</f>
        <v>264.172275862069</v>
      </c>
      <c r="R353" s="4" t="n">
        <f aca="false">IFERROR(I353/F353,0)</f>
        <v>0.183289202706678</v>
      </c>
      <c r="S353" s="4" t="n">
        <f aca="false">IFERROR(K353/J353,0)</f>
        <v>0.13935835413323</v>
      </c>
      <c r="T353" s="6" t="s">
        <v>23</v>
      </c>
    </row>
    <row r="354" customFormat="false" ht="15" hidden="false" customHeight="false" outlineLevel="0" collapsed="false">
      <c r="A354" s="9" t="s">
        <v>387</v>
      </c>
      <c r="B354" s="9" t="s">
        <v>26</v>
      </c>
      <c r="C354" s="9" t="n">
        <v>828</v>
      </c>
      <c r="D354" s="9" t="n">
        <v>172</v>
      </c>
      <c r="E354" s="9" t="n">
        <v>370</v>
      </c>
      <c r="F354" s="9" t="n">
        <v>5456</v>
      </c>
      <c r="G354" s="9" t="n">
        <v>25</v>
      </c>
      <c r="H354" s="9" t="n">
        <v>546190.9</v>
      </c>
      <c r="I354" s="9" t="n">
        <v>1910</v>
      </c>
      <c r="J354" s="9" t="n">
        <v>112057</v>
      </c>
      <c r="K354" s="9" t="n">
        <v>88059</v>
      </c>
      <c r="L354" s="9" t="n">
        <v>200</v>
      </c>
      <c r="M354" s="10" t="n">
        <f aca="false">IFERROR(D354/C354,0)</f>
        <v>0.207729468599034</v>
      </c>
      <c r="N354" s="10" t="n">
        <f aca="false">IFERROR(E354/C354,0)</f>
        <v>0.446859903381643</v>
      </c>
      <c r="O354" s="11" t="n">
        <f aca="false">IFERROR(F354/MAX(C354-D354,1),0)</f>
        <v>8.31707317073171</v>
      </c>
      <c r="P354" s="11" t="n">
        <f aca="false">IFERROR(F354/C354,0)</f>
        <v>6.58937198067633</v>
      </c>
      <c r="Q354" s="11" t="n">
        <f aca="false">IFERROR(H354/C354,0)</f>
        <v>659.650845410628</v>
      </c>
      <c r="R354" s="10" t="n">
        <f aca="false">IFERROR(I354/F354,0)</f>
        <v>0.350073313782991</v>
      </c>
      <c r="S354" s="10" t="n">
        <f aca="false">IFERROR(K354/J354,0)</f>
        <v>0.78584113442266</v>
      </c>
      <c r="T354" s="12" t="s">
        <v>30</v>
      </c>
    </row>
    <row r="355" customFormat="false" ht="15" hidden="false" customHeight="false" outlineLevel="0" collapsed="false">
      <c r="A355" s="3" t="s">
        <v>388</v>
      </c>
      <c r="B355" s="3" t="s">
        <v>22</v>
      </c>
      <c r="C355" s="3" t="n">
        <v>1958</v>
      </c>
      <c r="D355" s="3" t="n">
        <v>121</v>
      </c>
      <c r="E355" s="3" t="n">
        <v>622</v>
      </c>
      <c r="F355" s="3" t="n">
        <v>4756</v>
      </c>
      <c r="G355" s="3" t="n">
        <v>14</v>
      </c>
      <c r="H355" s="3" t="n">
        <v>815756.5</v>
      </c>
      <c r="I355" s="3" t="n">
        <v>906</v>
      </c>
      <c r="J355" s="3" t="n">
        <v>264478</v>
      </c>
      <c r="K355" s="3" t="n">
        <v>46451</v>
      </c>
      <c r="L355" s="3" t="n">
        <v>291</v>
      </c>
      <c r="M355" s="4" t="n">
        <f aca="false">IFERROR(D355/C355,0)</f>
        <v>0.0617977528089888</v>
      </c>
      <c r="N355" s="4" t="n">
        <f aca="false">IFERROR(E355/C355,0)</f>
        <v>0.317671092951992</v>
      </c>
      <c r="O355" s="5" t="n">
        <f aca="false">IFERROR(F355/MAX(C355-D355,1),0)</f>
        <v>2.5890038105607</v>
      </c>
      <c r="P355" s="5" t="n">
        <f aca="false">IFERROR(F355/C355,0)</f>
        <v>2.42900919305414</v>
      </c>
      <c r="Q355" s="5" t="n">
        <f aca="false">IFERROR(H355/C355,0)</f>
        <v>416.627425944842</v>
      </c>
      <c r="R355" s="4" t="n">
        <f aca="false">IFERROR(I355/F355,0)</f>
        <v>0.190496215306981</v>
      </c>
      <c r="S355" s="4" t="n">
        <f aca="false">IFERROR(K355/J355,0)</f>
        <v>0.175632755843586</v>
      </c>
      <c r="T355" s="6" t="s">
        <v>23</v>
      </c>
    </row>
    <row r="356" customFormat="false" ht="15" hidden="false" customHeight="false" outlineLevel="0" collapsed="false">
      <c r="A356" s="9" t="s">
        <v>389</v>
      </c>
      <c r="B356" s="9" t="s">
        <v>26</v>
      </c>
      <c r="C356" s="9" t="n">
        <v>3955</v>
      </c>
      <c r="D356" s="9" t="n">
        <v>1221</v>
      </c>
      <c r="E356" s="9" t="n">
        <v>2031</v>
      </c>
      <c r="F356" s="9" t="n">
        <v>37049</v>
      </c>
      <c r="G356" s="9" t="n">
        <v>27</v>
      </c>
      <c r="H356" s="9" t="n">
        <v>4099935.6</v>
      </c>
      <c r="I356" s="9" t="n">
        <v>24666</v>
      </c>
      <c r="J356" s="9" t="n">
        <v>280083</v>
      </c>
      <c r="K356" s="9" t="n">
        <v>188420</v>
      </c>
      <c r="L356" s="9" t="n">
        <v>899</v>
      </c>
      <c r="M356" s="10" t="n">
        <f aca="false">IFERROR(D356/C356,0)</f>
        <v>0.308723135271808</v>
      </c>
      <c r="N356" s="10" t="n">
        <f aca="false">IFERROR(E356/C356,0)</f>
        <v>0.513527180783818</v>
      </c>
      <c r="O356" s="11" t="n">
        <f aca="false">IFERROR(F356/MAX(C356-D356,1),0)</f>
        <v>13.5512070226774</v>
      </c>
      <c r="P356" s="11" t="n">
        <f aca="false">IFERROR(F356/C356,0)</f>
        <v>9.36763590391909</v>
      </c>
      <c r="Q356" s="11" t="n">
        <f aca="false">IFERROR(H356/C356,0)</f>
        <v>1036.64616940582</v>
      </c>
      <c r="R356" s="10" t="n">
        <f aca="false">IFERROR(I356/F356,0)</f>
        <v>0.665766957272801</v>
      </c>
      <c r="S356" s="10" t="n">
        <f aca="false">IFERROR(K356/J356,0)</f>
        <v>0.672729155286112</v>
      </c>
      <c r="T356" s="12" t="s">
        <v>30</v>
      </c>
    </row>
    <row r="357" customFormat="false" ht="15" hidden="false" customHeight="false" outlineLevel="0" collapsed="false">
      <c r="A357" s="9" t="s">
        <v>390</v>
      </c>
      <c r="B357" s="9" t="s">
        <v>29</v>
      </c>
      <c r="C357" s="9" t="n">
        <v>2637</v>
      </c>
      <c r="D357" s="9" t="n">
        <v>1003</v>
      </c>
      <c r="E357" s="9" t="n">
        <v>1421</v>
      </c>
      <c r="F357" s="9" t="n">
        <v>15509</v>
      </c>
      <c r="G357" s="9" t="n">
        <v>18</v>
      </c>
      <c r="H357" s="9" t="n">
        <v>2289368.5</v>
      </c>
      <c r="I357" s="9" t="n">
        <v>13892</v>
      </c>
      <c r="J357" s="9" t="n">
        <v>350552</v>
      </c>
      <c r="K357" s="9" t="n">
        <v>281282</v>
      </c>
      <c r="L357" s="9" t="n">
        <v>0</v>
      </c>
      <c r="M357" s="10" t="n">
        <f aca="false">IFERROR(D357/C357,0)</f>
        <v>0.380356465680698</v>
      </c>
      <c r="N357" s="10" t="n">
        <f aca="false">IFERROR(E357/C357,0)</f>
        <v>0.538869927948426</v>
      </c>
      <c r="O357" s="11" t="n">
        <f aca="false">IFERROR(F357/MAX(C357-D357,1),0)</f>
        <v>9.49143206854345</v>
      </c>
      <c r="P357" s="11" t="n">
        <f aca="false">IFERROR(F357/C357,0)</f>
        <v>5.88130451270383</v>
      </c>
      <c r="Q357" s="11" t="n">
        <f aca="false">IFERROR(H357/C357,0)</f>
        <v>868.171596511187</v>
      </c>
      <c r="R357" s="10" t="n">
        <f aca="false">IFERROR(I357/F357,0)</f>
        <v>0.895737958604681</v>
      </c>
      <c r="S357" s="10" t="n">
        <f aca="false">IFERROR(K357/J357,0)</f>
        <v>0.802397361874986</v>
      </c>
      <c r="T357" s="12" t="s">
        <v>30</v>
      </c>
    </row>
    <row r="358" customFormat="false" ht="15" hidden="false" customHeight="false" outlineLevel="0" collapsed="false">
      <c r="A358" s="3" t="s">
        <v>391</v>
      </c>
      <c r="B358" s="3" t="s">
        <v>22</v>
      </c>
      <c r="C358" s="3" t="n">
        <v>3390</v>
      </c>
      <c r="D358" s="3" t="n">
        <v>288</v>
      </c>
      <c r="E358" s="3" t="n">
        <v>1380</v>
      </c>
      <c r="F358" s="3" t="n">
        <v>10165</v>
      </c>
      <c r="G358" s="3" t="n">
        <v>14</v>
      </c>
      <c r="H358" s="3" t="n">
        <v>1323903.5</v>
      </c>
      <c r="I358" s="3" t="n">
        <v>1158</v>
      </c>
      <c r="J358" s="3" t="n">
        <v>320229</v>
      </c>
      <c r="K358" s="3" t="n">
        <v>52402</v>
      </c>
      <c r="L358" s="3" t="n">
        <v>440</v>
      </c>
      <c r="M358" s="4" t="n">
        <f aca="false">IFERROR(D358/C358,0)</f>
        <v>0.0849557522123894</v>
      </c>
      <c r="N358" s="4" t="n">
        <f aca="false">IFERROR(E358/C358,0)</f>
        <v>0.407079646017699</v>
      </c>
      <c r="O358" s="5" t="n">
        <f aca="false">IFERROR(F358/MAX(C358-D358,1),0)</f>
        <v>3.27691811734365</v>
      </c>
      <c r="P358" s="5" t="n">
        <f aca="false">IFERROR(F358/C358,0)</f>
        <v>2.99852507374631</v>
      </c>
      <c r="Q358" s="5" t="n">
        <f aca="false">IFERROR(H358/C358,0)</f>
        <v>390.532005899705</v>
      </c>
      <c r="R358" s="4" t="n">
        <f aca="false">IFERROR(I358/F358,0)</f>
        <v>0.113920314805706</v>
      </c>
      <c r="S358" s="4" t="n">
        <f aca="false">IFERROR(K358/J358,0)</f>
        <v>0.163639145736332</v>
      </c>
      <c r="T358" s="6" t="s">
        <v>23</v>
      </c>
    </row>
    <row r="359" customFormat="false" ht="15" hidden="false" customHeight="false" outlineLevel="0" collapsed="false">
      <c r="A359" s="3" t="s">
        <v>392</v>
      </c>
      <c r="B359" s="3" t="s">
        <v>22</v>
      </c>
      <c r="C359" s="3" t="n">
        <v>1192</v>
      </c>
      <c r="D359" s="3" t="n">
        <v>84</v>
      </c>
      <c r="E359" s="3" t="n">
        <v>276</v>
      </c>
      <c r="F359" s="3" t="n">
        <v>2907</v>
      </c>
      <c r="G359" s="3" t="n">
        <v>7</v>
      </c>
      <c r="H359" s="3" t="n">
        <v>597004</v>
      </c>
      <c r="I359" s="3" t="n">
        <v>427</v>
      </c>
      <c r="J359" s="3" t="n">
        <v>203990</v>
      </c>
      <c r="K359" s="3" t="n">
        <v>30363</v>
      </c>
      <c r="L359" s="3" t="n">
        <v>407</v>
      </c>
      <c r="M359" s="4" t="n">
        <f aca="false">IFERROR(D359/C359,0)</f>
        <v>0.0704697986577181</v>
      </c>
      <c r="N359" s="4" t="n">
        <f aca="false">IFERROR(E359/C359,0)</f>
        <v>0.231543624161074</v>
      </c>
      <c r="O359" s="5" t="n">
        <f aca="false">IFERROR(F359/MAX(C359-D359,1),0)</f>
        <v>2.62364620938628</v>
      </c>
      <c r="P359" s="5" t="n">
        <f aca="false">IFERROR(F359/C359,0)</f>
        <v>2.43875838926175</v>
      </c>
      <c r="Q359" s="5" t="n">
        <f aca="false">IFERROR(H359/C359,0)</f>
        <v>500.842281879195</v>
      </c>
      <c r="R359" s="4" t="n">
        <f aca="false">IFERROR(I359/F359,0)</f>
        <v>0.146886824905401</v>
      </c>
      <c r="S359" s="4" t="n">
        <f aca="false">IFERROR(K359/J359,0)</f>
        <v>0.148845531643708</v>
      </c>
      <c r="T359" s="6" t="s">
        <v>23</v>
      </c>
    </row>
    <row r="360" customFormat="false" ht="15" hidden="false" customHeight="false" outlineLevel="0" collapsed="false">
      <c r="A360" s="3" t="s">
        <v>393</v>
      </c>
      <c r="B360" s="3" t="s">
        <v>29</v>
      </c>
      <c r="C360" s="3" t="n">
        <v>922</v>
      </c>
      <c r="D360" s="3" t="n">
        <v>96</v>
      </c>
      <c r="E360" s="3" t="n">
        <v>305</v>
      </c>
      <c r="F360" s="3" t="n">
        <v>2830</v>
      </c>
      <c r="G360" s="3" t="n">
        <v>11</v>
      </c>
      <c r="H360" s="3" t="n">
        <v>369590.8</v>
      </c>
      <c r="I360" s="3" t="n">
        <v>541</v>
      </c>
      <c r="J360" s="3" t="n">
        <v>132440</v>
      </c>
      <c r="K360" s="3" t="n">
        <v>23949</v>
      </c>
      <c r="L360" s="3" t="n">
        <v>0</v>
      </c>
      <c r="M360" s="4" t="n">
        <f aca="false">IFERROR(D360/C360,0)</f>
        <v>0.10412147505423</v>
      </c>
      <c r="N360" s="4" t="n">
        <f aca="false">IFERROR(E360/C360,0)</f>
        <v>0.330802603036876</v>
      </c>
      <c r="O360" s="5" t="n">
        <f aca="false">IFERROR(F360/MAX(C360-D360,1),0)</f>
        <v>3.42615012106538</v>
      </c>
      <c r="P360" s="5" t="n">
        <f aca="false">IFERROR(F360/C360,0)</f>
        <v>3.06941431670282</v>
      </c>
      <c r="Q360" s="5" t="n">
        <f aca="false">IFERROR(H360/C360,0)</f>
        <v>400.857700650759</v>
      </c>
      <c r="R360" s="4" t="n">
        <f aca="false">IFERROR(I360/F360,0)</f>
        <v>0.191166077738516</v>
      </c>
      <c r="S360" s="4" t="n">
        <f aca="false">IFERROR(K360/J360,0)</f>
        <v>0.180829054666264</v>
      </c>
      <c r="T360" s="6" t="s">
        <v>23</v>
      </c>
    </row>
    <row r="361" customFormat="false" ht="15" hidden="false" customHeight="false" outlineLevel="0" collapsed="false">
      <c r="A361" s="3" t="s">
        <v>394</v>
      </c>
      <c r="B361" s="3" t="s">
        <v>29</v>
      </c>
      <c r="C361" s="3" t="n">
        <v>1517</v>
      </c>
      <c r="D361" s="3" t="n">
        <v>267</v>
      </c>
      <c r="E361" s="3" t="n">
        <v>554</v>
      </c>
      <c r="F361" s="3" t="n">
        <v>4443</v>
      </c>
      <c r="G361" s="3" t="n">
        <v>15</v>
      </c>
      <c r="H361" s="3" t="n">
        <v>514066.2</v>
      </c>
      <c r="I361" s="3" t="n">
        <v>1011</v>
      </c>
      <c r="J361" s="3" t="n">
        <v>189630</v>
      </c>
      <c r="K361" s="3" t="n">
        <v>44948</v>
      </c>
      <c r="L361" s="3" t="n">
        <v>0</v>
      </c>
      <c r="M361" s="4" t="n">
        <f aca="false">IFERROR(D361/C361,0)</f>
        <v>0.176005273566249</v>
      </c>
      <c r="N361" s="4" t="n">
        <f aca="false">IFERROR(E361/C361,0)</f>
        <v>0.365194462755438</v>
      </c>
      <c r="O361" s="5" t="n">
        <f aca="false">IFERROR(F361/MAX(C361-D361,1),0)</f>
        <v>3.5544</v>
      </c>
      <c r="P361" s="5" t="n">
        <f aca="false">IFERROR(F361/C361,0)</f>
        <v>2.92880685563612</v>
      </c>
      <c r="Q361" s="5" t="n">
        <f aca="false">IFERROR(H361/C361,0)</f>
        <v>338.87027027027</v>
      </c>
      <c r="R361" s="4" t="n">
        <f aca="false">IFERROR(I361/F361,0)</f>
        <v>0.227548953409858</v>
      </c>
      <c r="S361" s="4" t="n">
        <f aca="false">IFERROR(K361/J361,0)</f>
        <v>0.23703000580077</v>
      </c>
      <c r="T361" s="6" t="s">
        <v>23</v>
      </c>
    </row>
    <row r="362" customFormat="false" ht="15" hidden="false" customHeight="false" outlineLevel="0" collapsed="false">
      <c r="A362" s="3" t="s">
        <v>395</v>
      </c>
      <c r="B362" s="3" t="s">
        <v>26</v>
      </c>
      <c r="C362" s="3" t="n">
        <v>3752</v>
      </c>
      <c r="D362" s="3" t="n">
        <v>475</v>
      </c>
      <c r="E362" s="3" t="n">
        <v>1419</v>
      </c>
      <c r="F362" s="3" t="n">
        <v>6555</v>
      </c>
      <c r="G362" s="3" t="n">
        <v>5</v>
      </c>
      <c r="H362" s="3" t="n">
        <v>1530567.4</v>
      </c>
      <c r="I362" s="3" t="n">
        <v>1985</v>
      </c>
      <c r="J362" s="3" t="n">
        <v>342554</v>
      </c>
      <c r="K362" s="3" t="n">
        <v>85923</v>
      </c>
      <c r="L362" s="3" t="n">
        <v>505</v>
      </c>
      <c r="M362" s="4" t="n">
        <f aca="false">IFERROR(D362/C362,0)</f>
        <v>0.126599147121535</v>
      </c>
      <c r="N362" s="4" t="n">
        <f aca="false">IFERROR(E362/C362,0)</f>
        <v>0.37819829424307</v>
      </c>
      <c r="O362" s="5" t="n">
        <f aca="false">IFERROR(F362/MAX(C362-D362,1),0)</f>
        <v>2.00030515715594</v>
      </c>
      <c r="P362" s="5" t="n">
        <f aca="false">IFERROR(F362/C362,0)</f>
        <v>1.74706823027719</v>
      </c>
      <c r="Q362" s="5" t="n">
        <f aca="false">IFERROR(H362/C362,0)</f>
        <v>407.933742004264</v>
      </c>
      <c r="R362" s="4" t="n">
        <f aca="false">IFERROR(I362/F362,0)</f>
        <v>0.302822273073989</v>
      </c>
      <c r="S362" s="4" t="n">
        <f aca="false">IFERROR(K362/J362,0)</f>
        <v>0.250830525990063</v>
      </c>
      <c r="T362" s="6" t="s">
        <v>23</v>
      </c>
    </row>
    <row r="363" customFormat="false" ht="15" hidden="false" customHeight="false" outlineLevel="0" collapsed="false">
      <c r="A363" s="9" t="s">
        <v>396</v>
      </c>
      <c r="B363" s="9" t="s">
        <v>22</v>
      </c>
      <c r="C363" s="9" t="n">
        <v>1821</v>
      </c>
      <c r="D363" s="9" t="n">
        <v>533</v>
      </c>
      <c r="E363" s="9" t="n">
        <v>819</v>
      </c>
      <c r="F363" s="9" t="n">
        <v>15788</v>
      </c>
      <c r="G363" s="9" t="n">
        <v>24</v>
      </c>
      <c r="H363" s="9" t="n">
        <v>1615907.9</v>
      </c>
      <c r="I363" s="9" t="n">
        <v>6880</v>
      </c>
      <c r="J363" s="9" t="n">
        <v>161507</v>
      </c>
      <c r="K363" s="9" t="n">
        <v>96208</v>
      </c>
      <c r="L363" s="9" t="n">
        <v>911</v>
      </c>
      <c r="M363" s="10" t="n">
        <f aca="false">IFERROR(D363/C363,0)</f>
        <v>0.29269632070291</v>
      </c>
      <c r="N363" s="10" t="n">
        <f aca="false">IFERROR(E363/C363,0)</f>
        <v>0.449752883031302</v>
      </c>
      <c r="O363" s="11" t="n">
        <f aca="false">IFERROR(F363/MAX(C363-D363,1),0)</f>
        <v>12.2577639751553</v>
      </c>
      <c r="P363" s="11" t="n">
        <f aca="false">IFERROR(F363/C363,0)</f>
        <v>8.66996155958265</v>
      </c>
      <c r="Q363" s="11" t="n">
        <f aca="false">IFERROR(H363/C363,0)</f>
        <v>887.373915431082</v>
      </c>
      <c r="R363" s="10" t="n">
        <f aca="false">IFERROR(I363/F363,0)</f>
        <v>0.435774005573854</v>
      </c>
      <c r="S363" s="10" t="n">
        <f aca="false">IFERROR(K363/J363,0)</f>
        <v>0.595689350925966</v>
      </c>
      <c r="T363" s="12" t="s">
        <v>30</v>
      </c>
    </row>
    <row r="364" customFormat="false" ht="15" hidden="false" customHeight="false" outlineLevel="0" collapsed="false">
      <c r="A364" s="3" t="s">
        <v>397</v>
      </c>
      <c r="B364" s="3" t="s">
        <v>26</v>
      </c>
      <c r="C364" s="3" t="n">
        <v>1245</v>
      </c>
      <c r="D364" s="3" t="n">
        <v>169</v>
      </c>
      <c r="E364" s="3" t="n">
        <v>593</v>
      </c>
      <c r="F364" s="3" t="n">
        <v>2439</v>
      </c>
      <c r="G364" s="3" t="n">
        <v>6</v>
      </c>
      <c r="H364" s="3" t="n">
        <v>646162.2</v>
      </c>
      <c r="I364" s="3" t="n">
        <v>382</v>
      </c>
      <c r="J364" s="3" t="n">
        <v>108619</v>
      </c>
      <c r="K364" s="3" t="n">
        <v>23401</v>
      </c>
      <c r="L364" s="3" t="n">
        <v>228</v>
      </c>
      <c r="M364" s="4" t="n">
        <f aca="false">IFERROR(D364/C364,0)</f>
        <v>0.13574297188755</v>
      </c>
      <c r="N364" s="4" t="n">
        <f aca="false">IFERROR(E364/C364,0)</f>
        <v>0.476305220883534</v>
      </c>
      <c r="O364" s="5" t="n">
        <f aca="false">IFERROR(F364/MAX(C364-D364,1),0)</f>
        <v>2.26672862453532</v>
      </c>
      <c r="P364" s="5" t="n">
        <f aca="false">IFERROR(F364/C364,0)</f>
        <v>1.95903614457831</v>
      </c>
      <c r="Q364" s="5" t="n">
        <f aca="false">IFERROR(H364/C364,0)</f>
        <v>519.00578313253</v>
      </c>
      <c r="R364" s="4" t="n">
        <f aca="false">IFERROR(I364/F364,0)</f>
        <v>0.156621566215662</v>
      </c>
      <c r="S364" s="4" t="n">
        <f aca="false">IFERROR(K364/J364,0)</f>
        <v>0.21544112908423</v>
      </c>
      <c r="T364" s="6" t="s">
        <v>23</v>
      </c>
    </row>
    <row r="365" customFormat="false" ht="15" hidden="false" customHeight="false" outlineLevel="0" collapsed="false">
      <c r="A365" s="3" t="s">
        <v>398</v>
      </c>
      <c r="B365" s="3" t="s">
        <v>22</v>
      </c>
      <c r="C365" s="3" t="n">
        <v>1415</v>
      </c>
      <c r="D365" s="3" t="n">
        <v>247</v>
      </c>
      <c r="E365" s="3" t="n">
        <v>509</v>
      </c>
      <c r="F365" s="3" t="n">
        <v>5145</v>
      </c>
      <c r="G365" s="3" t="n">
        <v>19</v>
      </c>
      <c r="H365" s="3" t="n">
        <v>772075.8</v>
      </c>
      <c r="I365" s="3" t="n">
        <v>1461</v>
      </c>
      <c r="J365" s="3" t="n">
        <v>131228</v>
      </c>
      <c r="K365" s="3" t="n">
        <v>28411</v>
      </c>
      <c r="L365" s="3" t="n">
        <v>477</v>
      </c>
      <c r="M365" s="4" t="n">
        <f aca="false">IFERROR(D365/C365,0)</f>
        <v>0.174558303886926</v>
      </c>
      <c r="N365" s="4" t="n">
        <f aca="false">IFERROR(E365/C365,0)</f>
        <v>0.359717314487633</v>
      </c>
      <c r="O365" s="5" t="n">
        <f aca="false">IFERROR(F365/MAX(C365-D365,1),0)</f>
        <v>4.40496575342466</v>
      </c>
      <c r="P365" s="5" t="n">
        <f aca="false">IFERROR(F365/C365,0)</f>
        <v>3.63604240282686</v>
      </c>
      <c r="Q365" s="5" t="n">
        <f aca="false">IFERROR(H365/C365,0)</f>
        <v>545.636607773852</v>
      </c>
      <c r="R365" s="4" t="n">
        <f aca="false">IFERROR(I365/F365,0)</f>
        <v>0.28396501457726</v>
      </c>
      <c r="S365" s="4" t="n">
        <f aca="false">IFERROR(K365/J365,0)</f>
        <v>0.21650105160484</v>
      </c>
      <c r="T365" s="6" t="s">
        <v>23</v>
      </c>
    </row>
    <row r="366" customFormat="false" ht="15" hidden="false" customHeight="false" outlineLevel="0" collapsed="false">
      <c r="A366" s="3" t="s">
        <v>399</v>
      </c>
      <c r="B366" s="3" t="s">
        <v>29</v>
      </c>
      <c r="C366" s="3" t="n">
        <v>253</v>
      </c>
      <c r="D366" s="3" t="n">
        <v>15</v>
      </c>
      <c r="E366" s="3" t="n">
        <v>75</v>
      </c>
      <c r="F366" s="3" t="n">
        <v>276</v>
      </c>
      <c r="G366" s="3" t="n">
        <v>2</v>
      </c>
      <c r="H366" s="3" t="n">
        <v>116818.3</v>
      </c>
      <c r="I366" s="3" t="n">
        <v>37</v>
      </c>
      <c r="J366" s="3" t="n">
        <v>22109</v>
      </c>
      <c r="K366" s="3" t="n">
        <v>3694</v>
      </c>
      <c r="L366" s="3" t="n">
        <v>0</v>
      </c>
      <c r="M366" s="4" t="n">
        <f aca="false">IFERROR(D366/C366,0)</f>
        <v>0.0592885375494071</v>
      </c>
      <c r="N366" s="4" t="n">
        <f aca="false">IFERROR(E366/C366,0)</f>
        <v>0.296442687747036</v>
      </c>
      <c r="O366" s="5" t="n">
        <f aca="false">IFERROR(F366/MAX(C366-D366,1),0)</f>
        <v>1.15966386554622</v>
      </c>
      <c r="P366" s="5" t="n">
        <f aca="false">IFERROR(F366/C366,0)</f>
        <v>1.09090909090909</v>
      </c>
      <c r="Q366" s="5" t="n">
        <f aca="false">IFERROR(H366/C366,0)</f>
        <v>461.732411067194</v>
      </c>
      <c r="R366" s="4" t="n">
        <f aca="false">IFERROR(I366/F366,0)</f>
        <v>0.134057971014493</v>
      </c>
      <c r="S366" s="4" t="n">
        <f aca="false">IFERROR(K366/J366,0)</f>
        <v>0.167081279117102</v>
      </c>
      <c r="T366" s="6" t="s">
        <v>23</v>
      </c>
    </row>
    <row r="367" customFormat="false" ht="15" hidden="false" customHeight="false" outlineLevel="0" collapsed="false">
      <c r="A367" s="9" t="s">
        <v>400</v>
      </c>
      <c r="B367" s="9" t="s">
        <v>22</v>
      </c>
      <c r="C367" s="9" t="n">
        <v>1776</v>
      </c>
      <c r="D367" s="9" t="n">
        <v>395</v>
      </c>
      <c r="E367" s="9" t="n">
        <v>826</v>
      </c>
      <c r="F367" s="9" t="n">
        <v>21610</v>
      </c>
      <c r="G367" s="9" t="n">
        <v>39</v>
      </c>
      <c r="H367" s="9" t="n">
        <v>1534354</v>
      </c>
      <c r="I367" s="9" t="n">
        <v>14667</v>
      </c>
      <c r="J367" s="9" t="n">
        <v>149036</v>
      </c>
      <c r="K367" s="9" t="n">
        <v>73027</v>
      </c>
      <c r="L367" s="9" t="n">
        <v>571</v>
      </c>
      <c r="M367" s="10" t="n">
        <f aca="false">IFERROR(D367/C367,0)</f>
        <v>0.22240990990991</v>
      </c>
      <c r="N367" s="10" t="n">
        <f aca="false">IFERROR(E367/C367,0)</f>
        <v>0.46509009009009</v>
      </c>
      <c r="O367" s="11" t="n">
        <f aca="false">IFERROR(F367/MAX(C367-D367,1),0)</f>
        <v>15.6480811006517</v>
      </c>
      <c r="P367" s="11" t="n">
        <f aca="false">IFERROR(F367/C367,0)</f>
        <v>12.1677927927928</v>
      </c>
      <c r="Q367" s="11" t="n">
        <f aca="false">IFERROR(H367/C367,0)</f>
        <v>863.938063063063</v>
      </c>
      <c r="R367" s="10" t="n">
        <f aca="false">IFERROR(I367/F367,0)</f>
        <v>0.678713558537714</v>
      </c>
      <c r="S367" s="10" t="n">
        <f aca="false">IFERROR(K367/J367,0)</f>
        <v>0.489995705735527</v>
      </c>
      <c r="T367" s="12" t="s">
        <v>30</v>
      </c>
    </row>
    <row r="368" customFormat="false" ht="15" hidden="false" customHeight="false" outlineLevel="0" collapsed="false">
      <c r="A368" s="3" t="s">
        <v>401</v>
      </c>
      <c r="B368" s="3" t="s">
        <v>26</v>
      </c>
      <c r="C368" s="3" t="n">
        <v>3652</v>
      </c>
      <c r="D368" s="3" t="n">
        <v>45</v>
      </c>
      <c r="E368" s="3" t="n">
        <v>1046</v>
      </c>
      <c r="F368" s="3" t="n">
        <v>5350</v>
      </c>
      <c r="G368" s="3" t="n">
        <v>6</v>
      </c>
      <c r="H368" s="3" t="n">
        <v>1547245.2</v>
      </c>
      <c r="I368" s="3" t="n">
        <v>839</v>
      </c>
      <c r="J368" s="3" t="n">
        <v>417841</v>
      </c>
      <c r="K368" s="3" t="n">
        <v>56076</v>
      </c>
      <c r="L368" s="3" t="n">
        <v>819</v>
      </c>
      <c r="M368" s="4" t="n">
        <f aca="false">IFERROR(D368/C368,0)</f>
        <v>0.0123220153340635</v>
      </c>
      <c r="N368" s="4" t="n">
        <f aca="false">IFERROR(E368/C368,0)</f>
        <v>0.286418400876232</v>
      </c>
      <c r="O368" s="5" t="n">
        <f aca="false">IFERROR(F368/MAX(C368-D368,1),0)</f>
        <v>1.48322705849737</v>
      </c>
      <c r="P368" s="5" t="n">
        <f aca="false">IFERROR(F368/C368,0)</f>
        <v>1.46495071193866</v>
      </c>
      <c r="Q368" s="5" t="n">
        <f aca="false">IFERROR(H368/C368,0)</f>
        <v>423.670646221249</v>
      </c>
      <c r="R368" s="4" t="n">
        <f aca="false">IFERROR(I368/F368,0)</f>
        <v>0.156822429906542</v>
      </c>
      <c r="S368" s="4" t="n">
        <f aca="false">IFERROR(K368/J368,0)</f>
        <v>0.134204158998279</v>
      </c>
      <c r="T368" s="6" t="s">
        <v>23</v>
      </c>
    </row>
    <row r="369" customFormat="false" ht="15" hidden="false" customHeight="false" outlineLevel="0" collapsed="false">
      <c r="A369" s="3" t="s">
        <v>402</v>
      </c>
      <c r="B369" s="3" t="s">
        <v>29</v>
      </c>
      <c r="C369" s="3" t="n">
        <v>2369</v>
      </c>
      <c r="D369" s="3" t="n">
        <v>331</v>
      </c>
      <c r="E369" s="3" t="n">
        <v>1029</v>
      </c>
      <c r="F369" s="3" t="n">
        <v>8985</v>
      </c>
      <c r="G369" s="3" t="n">
        <v>16</v>
      </c>
      <c r="H369" s="3" t="n">
        <v>1391057.3</v>
      </c>
      <c r="I369" s="3" t="n">
        <v>2309</v>
      </c>
      <c r="J369" s="3" t="n">
        <v>313794</v>
      </c>
      <c r="K369" s="3" t="n">
        <v>86604</v>
      </c>
      <c r="L369" s="3" t="n">
        <v>0</v>
      </c>
      <c r="M369" s="4" t="n">
        <f aca="false">IFERROR(D369/C369,0)</f>
        <v>0.139721401435205</v>
      </c>
      <c r="N369" s="4" t="n">
        <f aca="false">IFERROR(E369/C369,0)</f>
        <v>0.434360489658084</v>
      </c>
      <c r="O369" s="5" t="n">
        <f aca="false">IFERROR(F369/MAX(C369-D369,1),0)</f>
        <v>4.40873405299313</v>
      </c>
      <c r="P369" s="5" t="n">
        <f aca="false">IFERROR(F369/C369,0)</f>
        <v>3.79273955255382</v>
      </c>
      <c r="Q369" s="5" t="n">
        <f aca="false">IFERROR(H369/C369,0)</f>
        <v>587.191768678767</v>
      </c>
      <c r="R369" s="4" t="n">
        <f aca="false">IFERROR(I369/F369,0)</f>
        <v>0.256983861992209</v>
      </c>
      <c r="S369" s="4" t="n">
        <f aca="false">IFERROR(K369/J369,0)</f>
        <v>0.275989980687967</v>
      </c>
      <c r="T369" s="6" t="s">
        <v>23</v>
      </c>
    </row>
    <row r="370" customFormat="false" ht="15" hidden="false" customHeight="false" outlineLevel="0" collapsed="false">
      <c r="A370" s="9" t="s">
        <v>403</v>
      </c>
      <c r="B370" s="9" t="s">
        <v>22</v>
      </c>
      <c r="C370" s="9" t="n">
        <v>2267</v>
      </c>
      <c r="D370" s="9" t="n">
        <v>608</v>
      </c>
      <c r="E370" s="9" t="n">
        <v>1243</v>
      </c>
      <c r="F370" s="9" t="n">
        <v>19789</v>
      </c>
      <c r="G370" s="9" t="n">
        <v>23</v>
      </c>
      <c r="H370" s="9" t="n">
        <v>2570459.5</v>
      </c>
      <c r="I370" s="9" t="n">
        <v>12793</v>
      </c>
      <c r="J370" s="9" t="n">
        <v>175190</v>
      </c>
      <c r="K370" s="9" t="n">
        <v>113147</v>
      </c>
      <c r="L370" s="9" t="n">
        <v>338</v>
      </c>
      <c r="M370" s="10" t="n">
        <f aca="false">IFERROR(D370/C370,0)</f>
        <v>0.268195853550948</v>
      </c>
      <c r="N370" s="10" t="n">
        <f aca="false">IFERROR(E370/C370,0)</f>
        <v>0.548301720335245</v>
      </c>
      <c r="O370" s="11" t="n">
        <f aca="false">IFERROR(F370/MAX(C370-D370,1),0)</f>
        <v>11.9282700421941</v>
      </c>
      <c r="P370" s="11" t="n">
        <f aca="false">IFERROR(F370/C370,0)</f>
        <v>8.72915747684164</v>
      </c>
      <c r="Q370" s="11" t="n">
        <f aca="false">IFERROR(H370/C370,0)</f>
        <v>1133.85950595501</v>
      </c>
      <c r="R370" s="10" t="n">
        <f aca="false">IFERROR(I370/F370,0)</f>
        <v>0.646470261256254</v>
      </c>
      <c r="S370" s="10" t="n">
        <f aca="false">IFERROR(K370/J370,0)</f>
        <v>0.645853073805583</v>
      </c>
      <c r="T370" s="12" t="s">
        <v>30</v>
      </c>
    </row>
    <row r="371" customFormat="false" ht="15" hidden="false" customHeight="false" outlineLevel="0" collapsed="false">
      <c r="A371" s="3" t="s">
        <v>404</v>
      </c>
      <c r="B371" s="3" t="s">
        <v>29</v>
      </c>
      <c r="C371" s="3" t="n">
        <v>2527</v>
      </c>
      <c r="D371" s="3" t="n">
        <v>272</v>
      </c>
      <c r="E371" s="3" t="n">
        <v>1124</v>
      </c>
      <c r="F371" s="3" t="n">
        <v>4743</v>
      </c>
      <c r="G371" s="3" t="n">
        <v>7</v>
      </c>
      <c r="H371" s="3" t="n">
        <v>771486.2</v>
      </c>
      <c r="I371" s="3" t="n">
        <v>669</v>
      </c>
      <c r="J371" s="3" t="n">
        <v>253189</v>
      </c>
      <c r="K371" s="3" t="n">
        <v>67109</v>
      </c>
      <c r="L371" s="3" t="n">
        <v>0</v>
      </c>
      <c r="M371" s="4" t="n">
        <f aca="false">IFERROR(D371/C371,0)</f>
        <v>0.107637514839731</v>
      </c>
      <c r="N371" s="4" t="n">
        <f aca="false">IFERROR(E371/C371,0)</f>
        <v>0.444796201028888</v>
      </c>
      <c r="O371" s="5" t="n">
        <f aca="false">IFERROR(F371/MAX(C371-D371,1),0)</f>
        <v>2.10332594235033</v>
      </c>
      <c r="P371" s="5" t="n">
        <f aca="false">IFERROR(F371/C371,0)</f>
        <v>1.87692916501781</v>
      </c>
      <c r="Q371" s="5" t="n">
        <f aca="false">IFERROR(H371/C371,0)</f>
        <v>305.297269489513</v>
      </c>
      <c r="R371" s="4" t="n">
        <f aca="false">IFERROR(I371/F371,0)</f>
        <v>0.141049968374447</v>
      </c>
      <c r="S371" s="4" t="n">
        <f aca="false">IFERROR(K371/J371,0)</f>
        <v>0.265054958943714</v>
      </c>
      <c r="T371" s="6" t="s">
        <v>23</v>
      </c>
    </row>
    <row r="372" customFormat="false" ht="15" hidden="false" customHeight="false" outlineLevel="0" collapsed="false">
      <c r="A372" s="3" t="s">
        <v>405</v>
      </c>
      <c r="B372" s="3" t="s">
        <v>22</v>
      </c>
      <c r="C372" s="3" t="n">
        <v>2301</v>
      </c>
      <c r="D372" s="3" t="n">
        <v>111</v>
      </c>
      <c r="E372" s="3" t="n">
        <v>888</v>
      </c>
      <c r="F372" s="3" t="n">
        <v>3800</v>
      </c>
      <c r="G372" s="3" t="n">
        <v>9</v>
      </c>
      <c r="H372" s="3" t="n">
        <v>747094.4</v>
      </c>
      <c r="I372" s="3" t="n">
        <v>365</v>
      </c>
      <c r="J372" s="3" t="n">
        <v>170995</v>
      </c>
      <c r="K372" s="3" t="n">
        <v>8550</v>
      </c>
      <c r="L372" s="3" t="n">
        <v>407</v>
      </c>
      <c r="M372" s="4" t="n">
        <f aca="false">IFERROR(D372/C372,0)</f>
        <v>0.0482398956975228</v>
      </c>
      <c r="N372" s="4" t="n">
        <f aca="false">IFERROR(E372/C372,0)</f>
        <v>0.385919165580183</v>
      </c>
      <c r="O372" s="5" t="n">
        <f aca="false">IFERROR(F372/MAX(C372-D372,1),0)</f>
        <v>1.7351598173516</v>
      </c>
      <c r="P372" s="5" t="n">
        <f aca="false">IFERROR(F372/C372,0)</f>
        <v>1.65145588874402</v>
      </c>
      <c r="Q372" s="5" t="n">
        <f aca="false">IFERROR(H372/C372,0)</f>
        <v>324.682485875706</v>
      </c>
      <c r="R372" s="4" t="n">
        <f aca="false">IFERROR(I372/F372,0)</f>
        <v>0.0960526315789474</v>
      </c>
      <c r="S372" s="4" t="n">
        <f aca="false">IFERROR(K372/J372,0)</f>
        <v>0.0500014620310535</v>
      </c>
      <c r="T372" s="6" t="s">
        <v>23</v>
      </c>
    </row>
    <row r="373" customFormat="false" ht="15" hidden="false" customHeight="false" outlineLevel="0" collapsed="false">
      <c r="A373" s="3" t="s">
        <v>406</v>
      </c>
      <c r="B373" s="3" t="s">
        <v>26</v>
      </c>
      <c r="C373" s="3" t="n">
        <v>1962</v>
      </c>
      <c r="D373" s="3" t="n">
        <v>107</v>
      </c>
      <c r="E373" s="3" t="n">
        <v>466</v>
      </c>
      <c r="F373" s="3" t="n">
        <v>3034</v>
      </c>
      <c r="G373" s="3" t="n">
        <v>6</v>
      </c>
      <c r="H373" s="3" t="n">
        <v>710213.5</v>
      </c>
      <c r="I373" s="3" t="n">
        <v>543</v>
      </c>
      <c r="J373" s="3" t="n">
        <v>278656</v>
      </c>
      <c r="K373" s="3" t="n">
        <v>40017</v>
      </c>
      <c r="L373" s="3" t="n">
        <v>323</v>
      </c>
      <c r="M373" s="4" t="n">
        <f aca="false">IFERROR(D373/C373,0)</f>
        <v>0.0545361875637105</v>
      </c>
      <c r="N373" s="4" t="n">
        <f aca="false">IFERROR(E373/C373,0)</f>
        <v>0.237512742099898</v>
      </c>
      <c r="O373" s="5" t="n">
        <f aca="false">IFERROR(F373/MAX(C373-D373,1),0)</f>
        <v>1.6355795148248</v>
      </c>
      <c r="P373" s="5" t="n">
        <f aca="false">IFERROR(F373/C373,0)</f>
        <v>1.54638124362895</v>
      </c>
      <c r="Q373" s="5" t="n">
        <f aca="false">IFERROR(H373/C373,0)</f>
        <v>361.984454638124</v>
      </c>
      <c r="R373" s="4" t="n">
        <f aca="false">IFERROR(I373/F373,0)</f>
        <v>0.178971654581411</v>
      </c>
      <c r="S373" s="4" t="n">
        <f aca="false">IFERROR(K373/J373,0)</f>
        <v>0.143607171566376</v>
      </c>
      <c r="T373" s="6" t="s">
        <v>23</v>
      </c>
    </row>
    <row r="374" customFormat="false" ht="15" hidden="false" customHeight="false" outlineLevel="0" collapsed="false">
      <c r="A374" s="3" t="s">
        <v>407</v>
      </c>
      <c r="B374" s="3" t="s">
        <v>26</v>
      </c>
      <c r="C374" s="3" t="n">
        <v>2835</v>
      </c>
      <c r="D374" s="3" t="n">
        <v>257</v>
      </c>
      <c r="E374" s="3" t="n">
        <v>1030</v>
      </c>
      <c r="F374" s="3" t="n">
        <v>6889</v>
      </c>
      <c r="G374" s="3" t="n">
        <v>9</v>
      </c>
      <c r="H374" s="3" t="n">
        <v>1372224.1</v>
      </c>
      <c r="I374" s="3" t="n">
        <v>1541</v>
      </c>
      <c r="J374" s="3" t="n">
        <v>329457</v>
      </c>
      <c r="K374" s="3" t="n">
        <v>90471</v>
      </c>
      <c r="L374" s="3" t="n">
        <v>1046</v>
      </c>
      <c r="M374" s="4" t="n">
        <f aca="false">IFERROR(D374/C374,0)</f>
        <v>0.090652557319224</v>
      </c>
      <c r="N374" s="4" t="n">
        <f aca="false">IFERROR(E374/C374,0)</f>
        <v>0.36331569664903</v>
      </c>
      <c r="O374" s="5" t="n">
        <f aca="false">IFERROR(F374/MAX(C374-D374,1),0)</f>
        <v>2.6722265321955</v>
      </c>
      <c r="P374" s="5" t="n">
        <f aca="false">IFERROR(F374/C374,0)</f>
        <v>2.4299823633157</v>
      </c>
      <c r="Q374" s="5" t="n">
        <f aca="false">IFERROR(H374/C374,0)</f>
        <v>484.029664902998</v>
      </c>
      <c r="R374" s="4" t="n">
        <f aca="false">IFERROR(I374/F374,0)</f>
        <v>0.223689940484831</v>
      </c>
      <c r="S374" s="4" t="n">
        <f aca="false">IFERROR(K374/J374,0)</f>
        <v>0.274606397800016</v>
      </c>
      <c r="T374" s="6" t="s">
        <v>23</v>
      </c>
    </row>
    <row r="375" customFormat="false" ht="15" hidden="false" customHeight="false" outlineLevel="0" collapsed="false">
      <c r="A375" s="3" t="s">
        <v>408</v>
      </c>
      <c r="B375" s="3" t="s">
        <v>26</v>
      </c>
      <c r="C375" s="3" t="n">
        <v>1249</v>
      </c>
      <c r="D375" s="3" t="n">
        <v>67</v>
      </c>
      <c r="E375" s="3" t="n">
        <v>351</v>
      </c>
      <c r="F375" s="3" t="n">
        <v>3031</v>
      </c>
      <c r="G375" s="3" t="n">
        <v>10</v>
      </c>
      <c r="H375" s="3" t="n">
        <v>454091.8</v>
      </c>
      <c r="I375" s="3" t="n">
        <v>530</v>
      </c>
      <c r="J375" s="3" t="n">
        <v>125791</v>
      </c>
      <c r="K375" s="3" t="n">
        <v>16272</v>
      </c>
      <c r="L375" s="3" t="n">
        <v>320</v>
      </c>
      <c r="M375" s="4" t="n">
        <f aca="false">IFERROR(D375/C375,0)</f>
        <v>0.0536429143314652</v>
      </c>
      <c r="N375" s="4" t="n">
        <f aca="false">IFERROR(E375/C375,0)</f>
        <v>0.281024819855885</v>
      </c>
      <c r="O375" s="5" t="n">
        <f aca="false">IFERROR(F375/MAX(C375-D375,1),0)</f>
        <v>2.56429780033841</v>
      </c>
      <c r="P375" s="5" t="n">
        <f aca="false">IFERROR(F375/C375,0)</f>
        <v>2.42674139311449</v>
      </c>
      <c r="Q375" s="5" t="n">
        <f aca="false">IFERROR(H375/C375,0)</f>
        <v>363.564291433147</v>
      </c>
      <c r="R375" s="4" t="n">
        <f aca="false">IFERROR(I375/F375,0)</f>
        <v>0.174859782250082</v>
      </c>
      <c r="S375" s="4" t="n">
        <f aca="false">IFERROR(K375/J375,0)</f>
        <v>0.129357426206962</v>
      </c>
      <c r="T375" s="6" t="s">
        <v>23</v>
      </c>
    </row>
    <row r="376" customFormat="false" ht="15" hidden="false" customHeight="false" outlineLevel="0" collapsed="false">
      <c r="A376" s="3" t="s">
        <v>409</v>
      </c>
      <c r="B376" s="3" t="s">
        <v>26</v>
      </c>
      <c r="C376" s="3" t="n">
        <v>2834</v>
      </c>
      <c r="D376" s="3" t="n">
        <v>421</v>
      </c>
      <c r="E376" s="3" t="n">
        <v>1172</v>
      </c>
      <c r="F376" s="3" t="n">
        <v>10178</v>
      </c>
      <c r="G376" s="3" t="n">
        <v>15</v>
      </c>
      <c r="H376" s="3" t="n">
        <v>1848905</v>
      </c>
      <c r="I376" s="3" t="n">
        <v>2377</v>
      </c>
      <c r="J376" s="3" t="n">
        <v>317387</v>
      </c>
      <c r="K376" s="3" t="n">
        <v>52935</v>
      </c>
      <c r="L376" s="3" t="n">
        <v>440</v>
      </c>
      <c r="M376" s="4" t="n">
        <f aca="false">IFERROR(D376/C376,0)</f>
        <v>0.148553281580805</v>
      </c>
      <c r="N376" s="4" t="n">
        <f aca="false">IFERROR(E376/C376,0)</f>
        <v>0.413549752999294</v>
      </c>
      <c r="O376" s="5" t="n">
        <f aca="false">IFERROR(F376/MAX(C376-D376,1),0)</f>
        <v>4.21798590965603</v>
      </c>
      <c r="P376" s="5" t="n">
        <f aca="false">IFERROR(F376/C376,0)</f>
        <v>3.59139026111503</v>
      </c>
      <c r="Q376" s="5" t="n">
        <f aca="false">IFERROR(H376/C376,0)</f>
        <v>652.401199717713</v>
      </c>
      <c r="R376" s="4" t="n">
        <f aca="false">IFERROR(I376/F376,0)</f>
        <v>0.233542935743761</v>
      </c>
      <c r="S376" s="4" t="n">
        <f aca="false">IFERROR(K376/J376,0)</f>
        <v>0.166783768711384</v>
      </c>
      <c r="T376" s="6" t="s">
        <v>23</v>
      </c>
    </row>
    <row r="377" customFormat="false" ht="15" hidden="false" customHeight="false" outlineLevel="0" collapsed="false">
      <c r="A377" s="9" t="s">
        <v>410</v>
      </c>
      <c r="B377" s="9" t="s">
        <v>29</v>
      </c>
      <c r="C377" s="9" t="n">
        <v>3040</v>
      </c>
      <c r="D377" s="9" t="n">
        <v>879</v>
      </c>
      <c r="E377" s="9" t="n">
        <v>1832</v>
      </c>
      <c r="F377" s="9" t="n">
        <v>18288</v>
      </c>
      <c r="G377" s="9" t="n">
        <v>18</v>
      </c>
      <c r="H377" s="9" t="n">
        <v>3040898.4</v>
      </c>
      <c r="I377" s="9" t="n">
        <v>10515</v>
      </c>
      <c r="J377" s="9" t="n">
        <v>439815</v>
      </c>
      <c r="K377" s="9" t="n">
        <v>324940</v>
      </c>
      <c r="L377" s="9" t="n">
        <v>0</v>
      </c>
      <c r="M377" s="10" t="n">
        <f aca="false">IFERROR(D377/C377,0)</f>
        <v>0.289144736842105</v>
      </c>
      <c r="N377" s="10" t="n">
        <f aca="false">IFERROR(E377/C377,0)</f>
        <v>0.602631578947368</v>
      </c>
      <c r="O377" s="11" t="n">
        <f aca="false">IFERROR(F377/MAX(C377-D377,1),0)</f>
        <v>8.462748727441</v>
      </c>
      <c r="P377" s="11" t="n">
        <f aca="false">IFERROR(F377/C377,0)</f>
        <v>6.01578947368421</v>
      </c>
      <c r="Q377" s="11" t="n">
        <f aca="false">IFERROR(H377/C377,0)</f>
        <v>1000.29552631579</v>
      </c>
      <c r="R377" s="10" t="n">
        <f aca="false">IFERROR(I377/F377,0)</f>
        <v>0.57496719160105</v>
      </c>
      <c r="S377" s="10" t="n">
        <f aca="false">IFERROR(K377/J377,0)</f>
        <v>0.738810636290258</v>
      </c>
      <c r="T377" s="12" t="s">
        <v>30</v>
      </c>
    </row>
    <row r="378" customFormat="false" ht="15" hidden="false" customHeight="false" outlineLevel="0" collapsed="false">
      <c r="A378" s="3" t="s">
        <v>411</v>
      </c>
      <c r="B378" s="3" t="s">
        <v>22</v>
      </c>
      <c r="C378" s="3" t="n">
        <v>1238</v>
      </c>
      <c r="D378" s="3" t="n">
        <v>135</v>
      </c>
      <c r="E378" s="3" t="n">
        <v>498</v>
      </c>
      <c r="F378" s="3" t="n">
        <v>4493</v>
      </c>
      <c r="G378" s="3" t="n">
        <v>16</v>
      </c>
      <c r="H378" s="3" t="n">
        <v>505024.7</v>
      </c>
      <c r="I378" s="3" t="n">
        <v>1043</v>
      </c>
      <c r="J378" s="3" t="n">
        <v>88351</v>
      </c>
      <c r="K378" s="3" t="n">
        <v>14225</v>
      </c>
      <c r="L378" s="3" t="n">
        <v>211</v>
      </c>
      <c r="M378" s="4" t="n">
        <f aca="false">IFERROR(D378/C378,0)</f>
        <v>0.109046849757674</v>
      </c>
      <c r="N378" s="4" t="n">
        <f aca="false">IFERROR(E378/C378,0)</f>
        <v>0.402261712439418</v>
      </c>
      <c r="O378" s="5" t="n">
        <f aca="false">IFERROR(F378/MAX(C378-D378,1),0)</f>
        <v>4.07343608340889</v>
      </c>
      <c r="P378" s="5" t="n">
        <f aca="false">IFERROR(F378/C378,0)</f>
        <v>3.62924071082391</v>
      </c>
      <c r="Q378" s="5" t="n">
        <f aca="false">IFERROR(H378/C378,0)</f>
        <v>407.935945072698</v>
      </c>
      <c r="R378" s="4" t="n">
        <f aca="false">IFERROR(I378/F378,0)</f>
        <v>0.232138882706432</v>
      </c>
      <c r="S378" s="4" t="n">
        <f aca="false">IFERROR(K378/J378,0)</f>
        <v>0.161005534742108</v>
      </c>
      <c r="T378" s="6" t="s">
        <v>23</v>
      </c>
    </row>
    <row r="379" customFormat="false" ht="15" hidden="false" customHeight="false" outlineLevel="0" collapsed="false">
      <c r="A379" s="9" t="s">
        <v>412</v>
      </c>
      <c r="B379" s="9" t="s">
        <v>26</v>
      </c>
      <c r="C379" s="9" t="n">
        <v>336</v>
      </c>
      <c r="D379" s="9" t="n">
        <v>126</v>
      </c>
      <c r="E379" s="9" t="n">
        <v>232</v>
      </c>
      <c r="F379" s="9" t="n">
        <v>2242</v>
      </c>
      <c r="G379" s="9" t="n">
        <v>19</v>
      </c>
      <c r="H379" s="9" t="n">
        <v>358170.4</v>
      </c>
      <c r="I379" s="9" t="n">
        <v>1377</v>
      </c>
      <c r="J379" s="9" t="n">
        <v>50076</v>
      </c>
      <c r="K379" s="9" t="n">
        <v>40054</v>
      </c>
      <c r="L379" s="9" t="n">
        <v>88</v>
      </c>
      <c r="M379" s="10" t="n">
        <f aca="false">IFERROR(D379/C379,0)</f>
        <v>0.375</v>
      </c>
      <c r="N379" s="10" t="n">
        <f aca="false">IFERROR(E379/C379,0)</f>
        <v>0.690476190476191</v>
      </c>
      <c r="O379" s="11" t="n">
        <f aca="false">IFERROR(F379/MAX(C379-D379,1),0)</f>
        <v>10.6761904761905</v>
      </c>
      <c r="P379" s="11" t="n">
        <f aca="false">IFERROR(F379/C379,0)</f>
        <v>6.67261904761905</v>
      </c>
      <c r="Q379" s="11" t="n">
        <f aca="false">IFERROR(H379/C379,0)</f>
        <v>1065.98333333333</v>
      </c>
      <c r="R379" s="10" t="n">
        <f aca="false">IFERROR(I379/F379,0)</f>
        <v>0.614183764495986</v>
      </c>
      <c r="S379" s="10" t="n">
        <f aca="false">IFERROR(K379/J379,0)</f>
        <v>0.799864206406262</v>
      </c>
      <c r="T379" s="12" t="s">
        <v>30</v>
      </c>
    </row>
    <row r="380" customFormat="false" ht="15" hidden="false" customHeight="false" outlineLevel="0" collapsed="false">
      <c r="A380" s="3" t="s">
        <v>413</v>
      </c>
      <c r="B380" s="3" t="s">
        <v>22</v>
      </c>
      <c r="C380" s="3" t="n">
        <v>1299</v>
      </c>
      <c r="D380" s="3" t="n">
        <v>116</v>
      </c>
      <c r="E380" s="3" t="n">
        <v>478</v>
      </c>
      <c r="F380" s="3" t="n">
        <v>2730</v>
      </c>
      <c r="G380" s="3" t="n">
        <v>10</v>
      </c>
      <c r="H380" s="3" t="n">
        <v>490615.4</v>
      </c>
      <c r="I380" s="3" t="n">
        <v>575</v>
      </c>
      <c r="J380" s="3" t="n">
        <v>95756</v>
      </c>
      <c r="K380" s="3" t="n">
        <v>18900</v>
      </c>
      <c r="L380" s="3" t="n">
        <v>532</v>
      </c>
      <c r="M380" s="4" t="n">
        <f aca="false">IFERROR(D380/C380,0)</f>
        <v>0.0892994611239415</v>
      </c>
      <c r="N380" s="4" t="n">
        <f aca="false">IFERROR(E380/C380,0)</f>
        <v>0.367975365665897</v>
      </c>
      <c r="O380" s="5" t="n">
        <f aca="false">IFERROR(F380/MAX(C380-D380,1),0)</f>
        <v>2.30769230769231</v>
      </c>
      <c r="P380" s="5" t="n">
        <f aca="false">IFERROR(F380/C380,0)</f>
        <v>2.10161662817552</v>
      </c>
      <c r="Q380" s="5" t="n">
        <f aca="false">IFERROR(H380/C380,0)</f>
        <v>377.686989992302</v>
      </c>
      <c r="R380" s="4" t="n">
        <f aca="false">IFERROR(I380/F380,0)</f>
        <v>0.210622710622711</v>
      </c>
      <c r="S380" s="4" t="n">
        <f aca="false">IFERROR(K380/J380,0)</f>
        <v>0.197376665691967</v>
      </c>
      <c r="T380" s="6" t="s">
        <v>23</v>
      </c>
    </row>
    <row r="381" customFormat="false" ht="15" hidden="false" customHeight="false" outlineLevel="0" collapsed="false">
      <c r="A381" s="3" t="s">
        <v>414</v>
      </c>
      <c r="B381" s="3" t="s">
        <v>22</v>
      </c>
      <c r="C381" s="3" t="n">
        <v>1421</v>
      </c>
      <c r="D381" s="3" t="n">
        <v>40</v>
      </c>
      <c r="E381" s="3" t="n">
        <v>398</v>
      </c>
      <c r="F381" s="3" t="n">
        <v>2993</v>
      </c>
      <c r="G381" s="3" t="n">
        <v>9</v>
      </c>
      <c r="H381" s="3" t="n">
        <v>417838.8</v>
      </c>
      <c r="I381" s="3" t="n">
        <v>679</v>
      </c>
      <c r="J381" s="3" t="n">
        <v>253677</v>
      </c>
      <c r="K381" s="3" t="n">
        <v>43926</v>
      </c>
      <c r="L381" s="3" t="n">
        <v>319</v>
      </c>
      <c r="M381" s="4" t="n">
        <f aca="false">IFERROR(D381/C381,0)</f>
        <v>0.0281491907107671</v>
      </c>
      <c r="N381" s="4" t="n">
        <f aca="false">IFERROR(E381/C381,0)</f>
        <v>0.280084447572132</v>
      </c>
      <c r="O381" s="5" t="n">
        <f aca="false">IFERROR(F381/MAX(C381-D381,1),0)</f>
        <v>2.16727009413469</v>
      </c>
      <c r="P381" s="5" t="n">
        <f aca="false">IFERROR(F381/C381,0)</f>
        <v>2.10626319493315</v>
      </c>
      <c r="Q381" s="5" t="n">
        <f aca="false">IFERROR(H381/C381,0)</f>
        <v>294.045601688951</v>
      </c>
      <c r="R381" s="4" t="n">
        <f aca="false">IFERROR(I381/F381,0)</f>
        <v>0.2268626795857</v>
      </c>
      <c r="S381" s="4" t="n">
        <f aca="false">IFERROR(K381/J381,0)</f>
        <v>0.173157203845835</v>
      </c>
      <c r="T381" s="6" t="s">
        <v>23</v>
      </c>
    </row>
    <row r="382" customFormat="false" ht="15" hidden="false" customHeight="false" outlineLevel="0" collapsed="false">
      <c r="A382" s="3" t="s">
        <v>415</v>
      </c>
      <c r="B382" s="3" t="s">
        <v>29</v>
      </c>
      <c r="C382" s="3" t="n">
        <v>3801</v>
      </c>
      <c r="D382" s="3" t="n">
        <v>425</v>
      </c>
      <c r="E382" s="3" t="n">
        <v>1035</v>
      </c>
      <c r="F382" s="3" t="n">
        <v>9963</v>
      </c>
      <c r="G382" s="3" t="n">
        <v>9</v>
      </c>
      <c r="H382" s="3" t="n">
        <v>1701858.2</v>
      </c>
      <c r="I382" s="3" t="n">
        <v>1819</v>
      </c>
      <c r="J382" s="3" t="n">
        <v>549483</v>
      </c>
      <c r="K382" s="3" t="n">
        <v>125960</v>
      </c>
      <c r="L382" s="3" t="n">
        <v>0</v>
      </c>
      <c r="M382" s="4" t="n">
        <f aca="false">IFERROR(D382/C382,0)</f>
        <v>0.111812680873454</v>
      </c>
      <c r="N382" s="4" t="n">
        <f aca="false">IFERROR(E382/C382,0)</f>
        <v>0.272296764009471</v>
      </c>
      <c r="O382" s="5" t="n">
        <f aca="false">IFERROR(F382/MAX(C382-D382,1),0)</f>
        <v>2.95112559241706</v>
      </c>
      <c r="P382" s="5" t="n">
        <f aca="false">IFERROR(F382/C382,0)</f>
        <v>2.62115232833465</v>
      </c>
      <c r="Q382" s="5" t="n">
        <f aca="false">IFERROR(H382/C382,0)</f>
        <v>447.739594843462</v>
      </c>
      <c r="R382" s="4" t="n">
        <f aca="false">IFERROR(I382/F382,0)</f>
        <v>0.182575529458998</v>
      </c>
      <c r="S382" s="4" t="n">
        <f aca="false">IFERROR(K382/J382,0)</f>
        <v>0.229233661459954</v>
      </c>
      <c r="T382" s="6" t="s">
        <v>23</v>
      </c>
    </row>
    <row r="383" customFormat="false" ht="15" hidden="false" customHeight="false" outlineLevel="0" collapsed="false">
      <c r="A383" s="9" t="s">
        <v>416</v>
      </c>
      <c r="B383" s="9" t="s">
        <v>29</v>
      </c>
      <c r="C383" s="9" t="n">
        <v>3593</v>
      </c>
      <c r="D383" s="9" t="n">
        <v>1079</v>
      </c>
      <c r="E383" s="9" t="n">
        <v>1739</v>
      </c>
      <c r="F383" s="9" t="n">
        <v>19935</v>
      </c>
      <c r="G383" s="9" t="n">
        <v>15</v>
      </c>
      <c r="H383" s="9" t="n">
        <v>3152606.9</v>
      </c>
      <c r="I383" s="9" t="n">
        <v>14962</v>
      </c>
      <c r="J383" s="9" t="n">
        <v>545031</v>
      </c>
      <c r="K383" s="9" t="n">
        <v>281599</v>
      </c>
      <c r="L383" s="9" t="n">
        <v>0</v>
      </c>
      <c r="M383" s="10" t="n">
        <f aca="false">IFERROR(D383/C383,0)</f>
        <v>0.300306150848873</v>
      </c>
      <c r="N383" s="10" t="n">
        <f aca="false">IFERROR(E383/C383,0)</f>
        <v>0.483996660172558</v>
      </c>
      <c r="O383" s="11" t="n">
        <f aca="false">IFERROR(F383/MAX(C383-D383,1),0)</f>
        <v>7.92959427207637</v>
      </c>
      <c r="P383" s="11" t="n">
        <f aca="false">IFERROR(F383/C383,0)</f>
        <v>5.54828833843585</v>
      </c>
      <c r="Q383" s="11" t="n">
        <f aca="false">IFERROR(H383/C383,0)</f>
        <v>877.430253270248</v>
      </c>
      <c r="R383" s="10" t="n">
        <f aca="false">IFERROR(I383/F383,0)</f>
        <v>0.750539252570855</v>
      </c>
      <c r="S383" s="10" t="n">
        <f aca="false">IFERROR(K383/J383,0)</f>
        <v>0.516666024501359</v>
      </c>
      <c r="T383" s="12" t="s">
        <v>30</v>
      </c>
    </row>
    <row r="384" customFormat="false" ht="15" hidden="false" customHeight="false" outlineLevel="0" collapsed="false">
      <c r="A384" s="3" t="s">
        <v>417</v>
      </c>
      <c r="B384" s="3" t="s">
        <v>29</v>
      </c>
      <c r="C384" s="3" t="n">
        <v>481</v>
      </c>
      <c r="D384" s="3" t="n">
        <v>65</v>
      </c>
      <c r="E384" s="3" t="n">
        <v>191</v>
      </c>
      <c r="F384" s="3" t="n">
        <v>1701</v>
      </c>
      <c r="G384" s="3" t="n">
        <v>15</v>
      </c>
      <c r="H384" s="3" t="n">
        <v>280716.9</v>
      </c>
      <c r="I384" s="3" t="n">
        <v>369</v>
      </c>
      <c r="J384" s="3" t="n">
        <v>76342</v>
      </c>
      <c r="K384" s="3" t="n">
        <v>18711</v>
      </c>
      <c r="L384" s="3" t="n">
        <v>0</v>
      </c>
      <c r="M384" s="4" t="n">
        <f aca="false">IFERROR(D384/C384,0)</f>
        <v>0.135135135135135</v>
      </c>
      <c r="N384" s="4" t="n">
        <f aca="false">IFERROR(E384/C384,0)</f>
        <v>0.397089397089397</v>
      </c>
      <c r="O384" s="5" t="n">
        <f aca="false">IFERROR(F384/MAX(C384-D384,1),0)</f>
        <v>4.08894230769231</v>
      </c>
      <c r="P384" s="5" t="n">
        <f aca="false">IFERROR(F384/C384,0)</f>
        <v>3.53638253638254</v>
      </c>
      <c r="Q384" s="5" t="n">
        <f aca="false">IFERROR(H384/C384,0)</f>
        <v>583.611018711019</v>
      </c>
      <c r="R384" s="4" t="n">
        <f aca="false">IFERROR(I384/F384,0)</f>
        <v>0.216931216931217</v>
      </c>
      <c r="S384" s="4" t="n">
        <f aca="false">IFERROR(K384/J384,0)</f>
        <v>0.245094443425637</v>
      </c>
      <c r="T384" s="6" t="s">
        <v>23</v>
      </c>
    </row>
    <row r="385" customFormat="false" ht="15" hidden="false" customHeight="false" outlineLevel="0" collapsed="false">
      <c r="A385" s="3" t="s">
        <v>418</v>
      </c>
      <c r="B385" s="3" t="s">
        <v>26</v>
      </c>
      <c r="C385" s="3" t="n">
        <v>367</v>
      </c>
      <c r="D385" s="3" t="n">
        <v>21</v>
      </c>
      <c r="E385" s="3" t="n">
        <v>142</v>
      </c>
      <c r="F385" s="3" t="n">
        <v>698</v>
      </c>
      <c r="G385" s="3" t="n">
        <v>5</v>
      </c>
      <c r="H385" s="3" t="n">
        <v>107992.2</v>
      </c>
      <c r="I385" s="3" t="n">
        <v>87</v>
      </c>
      <c r="J385" s="3" t="n">
        <v>31141</v>
      </c>
      <c r="K385" s="3" t="n">
        <v>6875</v>
      </c>
      <c r="L385" s="3" t="n">
        <v>114</v>
      </c>
      <c r="M385" s="4" t="n">
        <f aca="false">IFERROR(D385/C385,0)</f>
        <v>0.0572207084468665</v>
      </c>
      <c r="N385" s="4" t="n">
        <f aca="false">IFERROR(E385/C385,0)</f>
        <v>0.386920980926431</v>
      </c>
      <c r="O385" s="5" t="n">
        <f aca="false">IFERROR(F385/MAX(C385-D385,1),0)</f>
        <v>2.01734104046243</v>
      </c>
      <c r="P385" s="5" t="n">
        <f aca="false">IFERROR(F385/C385,0)</f>
        <v>1.90190735694823</v>
      </c>
      <c r="Q385" s="5" t="n">
        <f aca="false">IFERROR(H385/C385,0)</f>
        <v>294.256675749319</v>
      </c>
      <c r="R385" s="4" t="n">
        <f aca="false">IFERROR(I385/F385,0)</f>
        <v>0.124641833810888</v>
      </c>
      <c r="S385" s="4" t="n">
        <f aca="false">IFERROR(K385/J385,0)</f>
        <v>0.22077004592017</v>
      </c>
      <c r="T385" s="6" t="s">
        <v>23</v>
      </c>
    </row>
    <row r="386" customFormat="false" ht="15" hidden="false" customHeight="false" outlineLevel="0" collapsed="false">
      <c r="A386" s="3" t="s">
        <v>419</v>
      </c>
      <c r="B386" s="3" t="s">
        <v>29</v>
      </c>
      <c r="C386" s="3" t="n">
        <v>2478</v>
      </c>
      <c r="D386" s="3" t="n">
        <v>157</v>
      </c>
      <c r="E386" s="3" t="n">
        <v>694</v>
      </c>
      <c r="F386" s="3" t="n">
        <v>3980</v>
      </c>
      <c r="G386" s="3" t="n">
        <v>4</v>
      </c>
      <c r="H386" s="3" t="n">
        <v>672424.7</v>
      </c>
      <c r="I386" s="3" t="n">
        <v>799</v>
      </c>
      <c r="J386" s="3" t="n">
        <v>460848</v>
      </c>
      <c r="K386" s="3" t="n">
        <v>79535</v>
      </c>
      <c r="L386" s="3" t="n">
        <v>0</v>
      </c>
      <c r="M386" s="4" t="n">
        <f aca="false">IFERROR(D386/C386,0)</f>
        <v>0.0633575464083939</v>
      </c>
      <c r="N386" s="4" t="n">
        <f aca="false">IFERROR(E386/C386,0)</f>
        <v>0.280064568200161</v>
      </c>
      <c r="O386" s="5" t="n">
        <f aca="false">IFERROR(F386/MAX(C386-D386,1),0)</f>
        <v>1.71477811288238</v>
      </c>
      <c r="P386" s="5" t="n">
        <f aca="false">IFERROR(F386/C386,0)</f>
        <v>1.60613397901534</v>
      </c>
      <c r="Q386" s="5" t="n">
        <f aca="false">IFERROR(H386/C386,0)</f>
        <v>271.35782889427</v>
      </c>
      <c r="R386" s="4" t="n">
        <f aca="false">IFERROR(I386/F386,0)</f>
        <v>0.200753768844221</v>
      </c>
      <c r="S386" s="4" t="n">
        <f aca="false">IFERROR(K386/J386,0)</f>
        <v>0.172584019025796</v>
      </c>
      <c r="T386" s="6" t="s">
        <v>23</v>
      </c>
    </row>
    <row r="387" customFormat="false" ht="15" hidden="false" customHeight="false" outlineLevel="0" collapsed="false">
      <c r="A387" s="3" t="s">
        <v>420</v>
      </c>
      <c r="B387" s="3" t="s">
        <v>29</v>
      </c>
      <c r="C387" s="3" t="n">
        <v>1679</v>
      </c>
      <c r="D387" s="3" t="n">
        <v>53</v>
      </c>
      <c r="E387" s="3" t="n">
        <v>416</v>
      </c>
      <c r="F387" s="3" t="n">
        <v>3855</v>
      </c>
      <c r="G387" s="3" t="n">
        <v>11</v>
      </c>
      <c r="H387" s="3" t="n">
        <v>156648.3</v>
      </c>
      <c r="I387" s="3" t="n">
        <v>692</v>
      </c>
      <c r="J387" s="3" t="n">
        <v>171421</v>
      </c>
      <c r="K387" s="3" t="n">
        <v>34227</v>
      </c>
      <c r="L387" s="3" t="n">
        <v>0</v>
      </c>
      <c r="M387" s="4" t="n">
        <f aca="false">IFERROR(D387/C387,0)</f>
        <v>0.0315664085765337</v>
      </c>
      <c r="N387" s="4" t="n">
        <f aca="false">IFERROR(E387/C387,0)</f>
        <v>0.247766527695057</v>
      </c>
      <c r="O387" s="5" t="n">
        <f aca="false">IFERROR(F387/MAX(C387-D387,1),0)</f>
        <v>2.37084870848709</v>
      </c>
      <c r="P387" s="5" t="n">
        <f aca="false">IFERROR(F387/C387,0)</f>
        <v>2.29600952948183</v>
      </c>
      <c r="Q387" s="5" t="n">
        <f aca="false">IFERROR(H387/C387,0)</f>
        <v>93.2985705777248</v>
      </c>
      <c r="R387" s="4" t="n">
        <f aca="false">IFERROR(I387/F387,0)</f>
        <v>0.179507133592737</v>
      </c>
      <c r="S387" s="4" t="n">
        <f aca="false">IFERROR(K387/J387,0)</f>
        <v>0.199666318595738</v>
      </c>
      <c r="T387" s="6" t="s">
        <v>23</v>
      </c>
    </row>
    <row r="388" customFormat="false" ht="15" hidden="false" customHeight="false" outlineLevel="0" collapsed="false">
      <c r="A388" s="3" t="s">
        <v>421</v>
      </c>
      <c r="B388" s="3" t="s">
        <v>29</v>
      </c>
      <c r="C388" s="3" t="n">
        <v>3387</v>
      </c>
      <c r="D388" s="3" t="n">
        <v>511</v>
      </c>
      <c r="E388" s="3" t="n">
        <v>1057</v>
      </c>
      <c r="F388" s="3" t="n">
        <v>12809</v>
      </c>
      <c r="G388" s="3" t="n">
        <v>16</v>
      </c>
      <c r="H388" s="3" t="n">
        <v>1499441.3</v>
      </c>
      <c r="I388" s="3" t="n">
        <v>2306</v>
      </c>
      <c r="J388" s="3" t="n">
        <v>541589</v>
      </c>
      <c r="K388" s="3" t="n">
        <v>124909</v>
      </c>
      <c r="L388" s="3" t="n">
        <v>0</v>
      </c>
      <c r="M388" s="4" t="n">
        <f aca="false">IFERROR(D388/C388,0)</f>
        <v>0.150870977266017</v>
      </c>
      <c r="N388" s="4" t="n">
        <f aca="false">IFERROR(E388/C388,0)</f>
        <v>0.312075583111898</v>
      </c>
      <c r="O388" s="5" t="n">
        <f aca="false">IFERROR(F388/MAX(C388-D388,1),0)</f>
        <v>4.45375521557719</v>
      </c>
      <c r="P388" s="5" t="n">
        <f aca="false">IFERROR(F388/C388,0)</f>
        <v>3.78181281369944</v>
      </c>
      <c r="Q388" s="5" t="n">
        <f aca="false">IFERROR(H388/C388,0)</f>
        <v>442.704842043106</v>
      </c>
      <c r="R388" s="4" t="n">
        <f aca="false">IFERROR(I388/F388,0)</f>
        <v>0.180029666640643</v>
      </c>
      <c r="S388" s="4" t="n">
        <f aca="false">IFERROR(K388/J388,0)</f>
        <v>0.230634300179657</v>
      </c>
      <c r="T388" s="6" t="s">
        <v>23</v>
      </c>
    </row>
    <row r="389" customFormat="false" ht="15" hidden="false" customHeight="false" outlineLevel="0" collapsed="false">
      <c r="A389" s="3" t="s">
        <v>422</v>
      </c>
      <c r="B389" s="3" t="s">
        <v>29</v>
      </c>
      <c r="C389" s="3" t="n">
        <v>3914</v>
      </c>
      <c r="D389" s="3" t="n">
        <v>362</v>
      </c>
      <c r="E389" s="3" t="n">
        <v>1083</v>
      </c>
      <c r="F389" s="3" t="n">
        <v>9559</v>
      </c>
      <c r="G389" s="3" t="n">
        <v>12</v>
      </c>
      <c r="H389" s="3" t="n">
        <v>1836505.9</v>
      </c>
      <c r="I389" s="3" t="n">
        <v>1566</v>
      </c>
      <c r="J389" s="3" t="n">
        <v>533787</v>
      </c>
      <c r="K389" s="3" t="n">
        <v>114892</v>
      </c>
      <c r="L389" s="3" t="n">
        <v>0</v>
      </c>
      <c r="M389" s="4" t="n">
        <f aca="false">IFERROR(D389/C389,0)</f>
        <v>0.0924885028104241</v>
      </c>
      <c r="N389" s="4" t="n">
        <f aca="false">IFERROR(E389/C389,0)</f>
        <v>0.276699029126214</v>
      </c>
      <c r="O389" s="5" t="n">
        <f aca="false">IFERROR(F389/MAX(C389-D389,1),0)</f>
        <v>2.69115990990991</v>
      </c>
      <c r="P389" s="5" t="n">
        <f aca="false">IFERROR(F389/C389,0)</f>
        <v>2.44225855901891</v>
      </c>
      <c r="Q389" s="5" t="n">
        <f aca="false">IFERROR(H389/C389,0)</f>
        <v>469.214588656106</v>
      </c>
      <c r="R389" s="4" t="n">
        <f aca="false">IFERROR(I389/F389,0)</f>
        <v>0.163824667852286</v>
      </c>
      <c r="S389" s="4" t="n">
        <f aca="false">IFERROR(K389/J389,0)</f>
        <v>0.215239411975189</v>
      </c>
      <c r="T389" s="6" t="s">
        <v>23</v>
      </c>
    </row>
    <row r="390" customFormat="false" ht="15" hidden="false" customHeight="false" outlineLevel="0" collapsed="false">
      <c r="A390" s="3" t="s">
        <v>423</v>
      </c>
      <c r="B390" s="3" t="s">
        <v>22</v>
      </c>
      <c r="C390" s="3" t="n">
        <v>3551</v>
      </c>
      <c r="D390" s="3" t="n">
        <v>141</v>
      </c>
      <c r="E390" s="3" t="n">
        <v>759</v>
      </c>
      <c r="F390" s="3" t="n">
        <v>6557</v>
      </c>
      <c r="G390" s="3" t="n">
        <v>7</v>
      </c>
      <c r="H390" s="3" t="n">
        <v>1510480.5</v>
      </c>
      <c r="I390" s="3" t="n">
        <v>1088</v>
      </c>
      <c r="J390" s="3" t="n">
        <v>636198</v>
      </c>
      <c r="K390" s="3" t="n">
        <v>140708</v>
      </c>
      <c r="L390" s="3" t="n">
        <v>719</v>
      </c>
      <c r="M390" s="4" t="n">
        <f aca="false">IFERROR(D390/C390,0)</f>
        <v>0.0397071247535905</v>
      </c>
      <c r="N390" s="4" t="n">
        <f aca="false">IFERROR(E390/C390,0)</f>
        <v>0.213742607716136</v>
      </c>
      <c r="O390" s="5" t="n">
        <f aca="false">IFERROR(F390/MAX(C390-D390,1),0)</f>
        <v>1.92287390029326</v>
      </c>
      <c r="P390" s="5" t="n">
        <f aca="false">IFERROR(F390/C390,0)</f>
        <v>1.84652210644889</v>
      </c>
      <c r="Q390" s="5" t="n">
        <f aca="false">IFERROR(H390/C390,0)</f>
        <v>425.367642917488</v>
      </c>
      <c r="R390" s="4" t="n">
        <f aca="false">IFERROR(I390/F390,0)</f>
        <v>0.165929540948605</v>
      </c>
      <c r="S390" s="4" t="n">
        <f aca="false">IFERROR(K390/J390,0)</f>
        <v>0.221170138856142</v>
      </c>
      <c r="T390" s="6" t="s">
        <v>23</v>
      </c>
    </row>
    <row r="391" customFormat="false" ht="15" hidden="false" customHeight="false" outlineLevel="0" collapsed="false">
      <c r="A391" s="3" t="s">
        <v>424</v>
      </c>
      <c r="B391" s="3" t="s">
        <v>26</v>
      </c>
      <c r="C391" s="3" t="n">
        <v>2891</v>
      </c>
      <c r="D391" s="3" t="n">
        <v>254</v>
      </c>
      <c r="E391" s="3" t="n">
        <v>1048</v>
      </c>
      <c r="F391" s="3" t="n">
        <v>8147</v>
      </c>
      <c r="G391" s="3" t="n">
        <v>16</v>
      </c>
      <c r="H391" s="3" t="n">
        <v>1024622.6</v>
      </c>
      <c r="I391" s="3" t="n">
        <v>1632</v>
      </c>
      <c r="J391" s="3" t="n">
        <v>240527</v>
      </c>
      <c r="K391" s="3" t="n">
        <v>43496</v>
      </c>
      <c r="L391" s="3" t="n">
        <v>1054</v>
      </c>
      <c r="M391" s="4" t="n">
        <f aca="false">IFERROR(D391/C391,0)</f>
        <v>0.0878588723625043</v>
      </c>
      <c r="N391" s="4" t="n">
        <f aca="false">IFERROR(E391/C391,0)</f>
        <v>0.362504323763404</v>
      </c>
      <c r="O391" s="5" t="n">
        <f aca="false">IFERROR(F391/MAX(C391-D391,1),0)</f>
        <v>3.08949563898369</v>
      </c>
      <c r="P391" s="5" t="n">
        <f aca="false">IFERROR(F391/C391,0)</f>
        <v>2.81805603597371</v>
      </c>
      <c r="Q391" s="5" t="n">
        <f aca="false">IFERROR(H391/C391,0)</f>
        <v>354.418056035974</v>
      </c>
      <c r="R391" s="4" t="n">
        <f aca="false">IFERROR(I391/F391,0)</f>
        <v>0.200319135878237</v>
      </c>
      <c r="S391" s="4" t="n">
        <f aca="false">IFERROR(K391/J391,0)</f>
        <v>0.180836247074133</v>
      </c>
      <c r="T391" s="6" t="s">
        <v>23</v>
      </c>
    </row>
    <row r="392" customFormat="false" ht="15" hidden="false" customHeight="false" outlineLevel="0" collapsed="false">
      <c r="A392" s="3" t="s">
        <v>425</v>
      </c>
      <c r="B392" s="3" t="s">
        <v>22</v>
      </c>
      <c r="C392" s="3" t="n">
        <v>3788</v>
      </c>
      <c r="D392" s="3" t="n">
        <v>604</v>
      </c>
      <c r="E392" s="3" t="n">
        <v>1703</v>
      </c>
      <c r="F392" s="3" t="n">
        <v>9944</v>
      </c>
      <c r="G392" s="3" t="n">
        <v>14</v>
      </c>
      <c r="H392" s="3" t="n">
        <v>2500795.3</v>
      </c>
      <c r="I392" s="3" t="n">
        <v>2301</v>
      </c>
      <c r="J392" s="3" t="n">
        <v>482630</v>
      </c>
      <c r="K392" s="3" t="n">
        <v>90994</v>
      </c>
      <c r="L392" s="3" t="n">
        <v>1521</v>
      </c>
      <c r="M392" s="4" t="n">
        <f aca="false">IFERROR(D392/C392,0)</f>
        <v>0.159450897571278</v>
      </c>
      <c r="N392" s="4" t="n">
        <f aca="false">IFERROR(E392/C392,0)</f>
        <v>0.449577613516368</v>
      </c>
      <c r="O392" s="5" t="n">
        <f aca="false">IFERROR(F392/MAX(C392-D392,1),0)</f>
        <v>3.12311557788945</v>
      </c>
      <c r="P392" s="5" t="n">
        <f aca="false">IFERROR(F392/C392,0)</f>
        <v>2.62513199577614</v>
      </c>
      <c r="Q392" s="5" t="n">
        <f aca="false">IFERROR(H392/C392,0)</f>
        <v>660.188833157339</v>
      </c>
      <c r="R392" s="4" t="n">
        <f aca="false">IFERROR(I392/F392,0)</f>
        <v>0.231395816572808</v>
      </c>
      <c r="S392" s="4" t="n">
        <f aca="false">IFERROR(K392/J392,0)</f>
        <v>0.188537803286161</v>
      </c>
      <c r="T392" s="6" t="s">
        <v>23</v>
      </c>
    </row>
    <row r="393" customFormat="false" ht="15" hidden="false" customHeight="false" outlineLevel="0" collapsed="false">
      <c r="A393" s="3" t="s">
        <v>426</v>
      </c>
      <c r="B393" s="3" t="s">
        <v>22</v>
      </c>
      <c r="C393" s="3" t="n">
        <v>2598</v>
      </c>
      <c r="D393" s="3" t="n">
        <v>423</v>
      </c>
      <c r="E393" s="3" t="n">
        <v>1046</v>
      </c>
      <c r="F393" s="3" t="n">
        <v>6509</v>
      </c>
      <c r="G393" s="3" t="n">
        <v>11</v>
      </c>
      <c r="H393" s="3" t="n">
        <v>978420.8</v>
      </c>
      <c r="I393" s="3" t="n">
        <v>1579</v>
      </c>
      <c r="J393" s="3" t="n">
        <v>326126</v>
      </c>
      <c r="K393" s="3" t="n">
        <v>73973</v>
      </c>
      <c r="L393" s="3" t="n">
        <v>619</v>
      </c>
      <c r="M393" s="4" t="n">
        <f aca="false">IFERROR(D393/C393,0)</f>
        <v>0.162817551963049</v>
      </c>
      <c r="N393" s="4" t="n">
        <f aca="false">IFERROR(E393/C393,0)</f>
        <v>0.40261739799846</v>
      </c>
      <c r="O393" s="5" t="n">
        <f aca="false">IFERROR(F393/MAX(C393-D393,1),0)</f>
        <v>2.99264367816092</v>
      </c>
      <c r="P393" s="5" t="n">
        <f aca="false">IFERROR(F393/C393,0)</f>
        <v>2.50538876058507</v>
      </c>
      <c r="Q393" s="5" t="n">
        <f aca="false">IFERROR(H393/C393,0)</f>
        <v>376.605388760585</v>
      </c>
      <c r="R393" s="4" t="n">
        <f aca="false">IFERROR(I393/F393,0)</f>
        <v>0.242587186971885</v>
      </c>
      <c r="S393" s="4" t="n">
        <f aca="false">IFERROR(K393/J393,0)</f>
        <v>0.226823375014565</v>
      </c>
      <c r="T393" s="6" t="s">
        <v>23</v>
      </c>
    </row>
    <row r="394" customFormat="false" ht="15" hidden="false" customHeight="false" outlineLevel="0" collapsed="false">
      <c r="A394" s="3" t="s">
        <v>427</v>
      </c>
      <c r="B394" s="3" t="s">
        <v>26</v>
      </c>
      <c r="C394" s="3" t="n">
        <v>654</v>
      </c>
      <c r="D394" s="3" t="n">
        <v>49</v>
      </c>
      <c r="E394" s="3" t="n">
        <v>227</v>
      </c>
      <c r="F394" s="3" t="n">
        <v>988</v>
      </c>
      <c r="G394" s="3" t="n">
        <v>7</v>
      </c>
      <c r="H394" s="3" t="n">
        <v>206728.4</v>
      </c>
      <c r="I394" s="3" t="n">
        <v>198</v>
      </c>
      <c r="J394" s="3" t="n">
        <v>114086</v>
      </c>
      <c r="K394" s="3" t="n">
        <v>14287</v>
      </c>
      <c r="L394" s="3" t="n">
        <v>182</v>
      </c>
      <c r="M394" s="4" t="n">
        <f aca="false">IFERROR(D394/C394,0)</f>
        <v>0.0749235474006116</v>
      </c>
      <c r="N394" s="4" t="n">
        <f aca="false">IFERROR(E394/C394,0)</f>
        <v>0.347094801223242</v>
      </c>
      <c r="O394" s="5" t="n">
        <f aca="false">IFERROR(F394/MAX(C394-D394,1),0)</f>
        <v>1.63305785123967</v>
      </c>
      <c r="P394" s="5" t="n">
        <f aca="false">IFERROR(F394/C394,0)</f>
        <v>1.51070336391437</v>
      </c>
      <c r="Q394" s="5" t="n">
        <f aca="false">IFERROR(H394/C394,0)</f>
        <v>316.098470948012</v>
      </c>
      <c r="R394" s="4" t="n">
        <f aca="false">IFERROR(I394/F394,0)</f>
        <v>0.200404858299595</v>
      </c>
      <c r="S394" s="4" t="n">
        <f aca="false">IFERROR(K394/J394,0)</f>
        <v>0.125230089581544</v>
      </c>
      <c r="T394" s="6" t="s">
        <v>23</v>
      </c>
    </row>
    <row r="395" customFormat="false" ht="15" hidden="false" customHeight="false" outlineLevel="0" collapsed="false">
      <c r="A395" s="9" t="s">
        <v>428</v>
      </c>
      <c r="B395" s="9" t="s">
        <v>29</v>
      </c>
      <c r="C395" s="9" t="n">
        <v>3866</v>
      </c>
      <c r="D395" s="9" t="n">
        <v>712</v>
      </c>
      <c r="E395" s="9" t="n">
        <v>1793</v>
      </c>
      <c r="F395" s="9" t="n">
        <v>15057</v>
      </c>
      <c r="G395" s="9" t="n">
        <v>16</v>
      </c>
      <c r="H395" s="9" t="n">
        <v>2756495.8</v>
      </c>
      <c r="I395" s="9" t="n">
        <v>8811</v>
      </c>
      <c r="J395" s="9" t="n">
        <v>602918</v>
      </c>
      <c r="K395" s="9" t="n">
        <v>308861</v>
      </c>
      <c r="L395" s="9" t="n">
        <v>0</v>
      </c>
      <c r="M395" s="10" t="n">
        <f aca="false">IFERROR(D395/C395,0)</f>
        <v>0.18416968442835</v>
      </c>
      <c r="N395" s="10" t="n">
        <f aca="false">IFERROR(E395/C395,0)</f>
        <v>0.463786859803414</v>
      </c>
      <c r="O395" s="11" t="n">
        <f aca="false">IFERROR(F395/MAX(C395-D395,1),0)</f>
        <v>4.77393785668992</v>
      </c>
      <c r="P395" s="11" t="n">
        <f aca="false">IFERROR(F395/C395,0)</f>
        <v>3.89472322814278</v>
      </c>
      <c r="Q395" s="11" t="n">
        <f aca="false">IFERROR(H395/C395,0)</f>
        <v>713.009777547853</v>
      </c>
      <c r="R395" s="10" t="n">
        <f aca="false">IFERROR(I395/F395,0)</f>
        <v>0.585176329946204</v>
      </c>
      <c r="S395" s="10" t="n">
        <f aca="false">IFERROR(K395/J395,0)</f>
        <v>0.512276959719232</v>
      </c>
      <c r="T395" s="12" t="s">
        <v>30</v>
      </c>
    </row>
    <row r="396" customFormat="false" ht="15" hidden="false" customHeight="false" outlineLevel="0" collapsed="false">
      <c r="A396" s="3" t="s">
        <v>429</v>
      </c>
      <c r="B396" s="3" t="s">
        <v>22</v>
      </c>
      <c r="C396" s="3" t="n">
        <v>3659</v>
      </c>
      <c r="D396" s="3" t="n">
        <v>242</v>
      </c>
      <c r="E396" s="3" t="n">
        <v>1196</v>
      </c>
      <c r="F396" s="3" t="n">
        <v>7306</v>
      </c>
      <c r="G396" s="3" t="n">
        <v>10</v>
      </c>
      <c r="H396" s="3" t="n">
        <v>1485850.3</v>
      </c>
      <c r="I396" s="3" t="n">
        <v>1462</v>
      </c>
      <c r="J396" s="3" t="n">
        <v>546779</v>
      </c>
      <c r="K396" s="3" t="n">
        <v>74686</v>
      </c>
      <c r="L396" s="3" t="n">
        <v>1239</v>
      </c>
      <c r="M396" s="4" t="n">
        <f aca="false">IFERROR(D396/C396,0)</f>
        <v>0.066138289150041</v>
      </c>
      <c r="N396" s="4" t="n">
        <f aca="false">IFERROR(E396/C396,0)</f>
        <v>0.32686526373326</v>
      </c>
      <c r="O396" s="5" t="n">
        <f aca="false">IFERROR(F396/MAX(C396-D396,1),0)</f>
        <v>2.13813286508633</v>
      </c>
      <c r="P396" s="5" t="n">
        <f aca="false">IFERROR(F396/C396,0)</f>
        <v>1.99672041541405</v>
      </c>
      <c r="Q396" s="5" t="n">
        <f aca="false">IFERROR(H396/C396,0)</f>
        <v>406.080978409402</v>
      </c>
      <c r="R396" s="4" t="n">
        <f aca="false">IFERROR(I396/F396,0)</f>
        <v>0.200109499041883</v>
      </c>
      <c r="S396" s="4" t="n">
        <f aca="false">IFERROR(K396/J396,0)</f>
        <v>0.136592663580715</v>
      </c>
      <c r="T396" s="6" t="s">
        <v>23</v>
      </c>
    </row>
    <row r="397" customFormat="false" ht="15" hidden="false" customHeight="false" outlineLevel="0" collapsed="false">
      <c r="A397" s="3" t="s">
        <v>430</v>
      </c>
      <c r="B397" s="3" t="s">
        <v>22</v>
      </c>
      <c r="C397" s="3" t="n">
        <v>3328</v>
      </c>
      <c r="D397" s="3" t="n">
        <v>218</v>
      </c>
      <c r="E397" s="3" t="n">
        <v>1318</v>
      </c>
      <c r="F397" s="3" t="n">
        <v>3927</v>
      </c>
      <c r="G397" s="3" t="n">
        <v>7</v>
      </c>
      <c r="H397" s="3" t="n">
        <v>1300640.9</v>
      </c>
      <c r="I397" s="3" t="n">
        <v>466</v>
      </c>
      <c r="J397" s="3" t="n">
        <v>448419</v>
      </c>
      <c r="K397" s="3" t="n">
        <v>65955</v>
      </c>
      <c r="L397" s="3" t="n">
        <v>437</v>
      </c>
      <c r="M397" s="4" t="n">
        <f aca="false">IFERROR(D397/C397,0)</f>
        <v>0.0655048076923077</v>
      </c>
      <c r="N397" s="4" t="n">
        <f aca="false">IFERROR(E397/C397,0)</f>
        <v>0.396033653846154</v>
      </c>
      <c r="O397" s="5" t="n">
        <f aca="false">IFERROR(F397/MAX(C397-D397,1),0)</f>
        <v>1.26270096463023</v>
      </c>
      <c r="P397" s="5" t="n">
        <f aca="false">IFERROR(F397/C397,0)</f>
        <v>1.17998798076923</v>
      </c>
      <c r="Q397" s="5" t="n">
        <f aca="false">IFERROR(H397/C397,0)</f>
        <v>390.817578125</v>
      </c>
      <c r="R397" s="4" t="n">
        <f aca="false">IFERROR(I397/F397,0)</f>
        <v>0.118665648077413</v>
      </c>
      <c r="S397" s="4" t="n">
        <f aca="false">IFERROR(K397/J397,0)</f>
        <v>0.147083419748048</v>
      </c>
      <c r="T397" s="6" t="s">
        <v>23</v>
      </c>
    </row>
    <row r="398" customFormat="false" ht="15" hidden="false" customHeight="false" outlineLevel="0" collapsed="false">
      <c r="A398" s="3" t="s">
        <v>431</v>
      </c>
      <c r="B398" s="3" t="s">
        <v>22</v>
      </c>
      <c r="C398" s="3" t="n">
        <v>2306</v>
      </c>
      <c r="D398" s="3" t="n">
        <v>370</v>
      </c>
      <c r="E398" s="3" t="n">
        <v>984</v>
      </c>
      <c r="F398" s="3" t="n">
        <v>7864</v>
      </c>
      <c r="G398" s="3" t="n">
        <v>14</v>
      </c>
      <c r="H398" s="3" t="n">
        <v>1431081.6</v>
      </c>
      <c r="I398" s="3" t="n">
        <v>1816</v>
      </c>
      <c r="J398" s="3" t="n">
        <v>401900</v>
      </c>
      <c r="K398" s="3" t="n">
        <v>46935</v>
      </c>
      <c r="L398" s="3" t="n">
        <v>1215</v>
      </c>
      <c r="M398" s="4" t="n">
        <f aca="false">IFERROR(D398/C398,0)</f>
        <v>0.160450997398092</v>
      </c>
      <c r="N398" s="4" t="n">
        <f aca="false">IFERROR(E398/C398,0)</f>
        <v>0.426712922810061</v>
      </c>
      <c r="O398" s="5" t="n">
        <f aca="false">IFERROR(F398/MAX(C398-D398,1),0)</f>
        <v>4.06198347107438</v>
      </c>
      <c r="P398" s="5" t="n">
        <f aca="false">IFERROR(F398/C398,0)</f>
        <v>3.41023417172593</v>
      </c>
      <c r="Q398" s="5" t="n">
        <f aca="false">IFERROR(H398/C398,0)</f>
        <v>620.590459670425</v>
      </c>
      <c r="R398" s="4" t="n">
        <f aca="false">IFERROR(I398/F398,0)</f>
        <v>0.230925737538149</v>
      </c>
      <c r="S398" s="4" t="n">
        <f aca="false">IFERROR(K398/J398,0)</f>
        <v>0.116782781786514</v>
      </c>
      <c r="T398" s="6" t="s">
        <v>23</v>
      </c>
    </row>
    <row r="399" customFormat="false" ht="15" hidden="false" customHeight="false" outlineLevel="0" collapsed="false">
      <c r="A399" s="9" t="s">
        <v>432</v>
      </c>
      <c r="B399" s="9" t="s">
        <v>22</v>
      </c>
      <c r="C399" s="9" t="n">
        <v>3249</v>
      </c>
      <c r="D399" s="9" t="n">
        <v>656</v>
      </c>
      <c r="E399" s="9" t="n">
        <v>1616</v>
      </c>
      <c r="F399" s="9" t="n">
        <v>26818</v>
      </c>
      <c r="G399" s="9" t="n">
        <v>32</v>
      </c>
      <c r="H399" s="9" t="n">
        <v>3088078.3</v>
      </c>
      <c r="I399" s="9" t="n">
        <v>17757</v>
      </c>
      <c r="J399" s="9" t="n">
        <v>570548</v>
      </c>
      <c r="K399" s="9" t="n">
        <v>479099</v>
      </c>
      <c r="L399" s="9" t="n">
        <v>533</v>
      </c>
      <c r="M399" s="10" t="n">
        <f aca="false">IFERROR(D399/C399,0)</f>
        <v>0.201908279470606</v>
      </c>
      <c r="N399" s="10" t="n">
        <f aca="false">IFERROR(E399/C399,0)</f>
        <v>0.497383810403201</v>
      </c>
      <c r="O399" s="11" t="n">
        <f aca="false">IFERROR(F399/MAX(C399-D399,1),0)</f>
        <v>10.3424604704975</v>
      </c>
      <c r="P399" s="11" t="n">
        <f aca="false">IFERROR(F399/C399,0)</f>
        <v>8.25423207140659</v>
      </c>
      <c r="Q399" s="11" t="n">
        <f aca="false">IFERROR(H399/C399,0)</f>
        <v>950.470390889504</v>
      </c>
      <c r="R399" s="10" t="n">
        <f aca="false">IFERROR(I399/F399,0)</f>
        <v>0.662129912745171</v>
      </c>
      <c r="S399" s="10" t="n">
        <f aca="false">IFERROR(K399/J399,0)</f>
        <v>0.839717254288859</v>
      </c>
      <c r="T399" s="12" t="s">
        <v>30</v>
      </c>
    </row>
    <row r="400" customFormat="false" ht="15" hidden="false" customHeight="false" outlineLevel="0" collapsed="false">
      <c r="A400" s="3" t="s">
        <v>433</v>
      </c>
      <c r="B400" s="3" t="s">
        <v>26</v>
      </c>
      <c r="C400" s="3" t="n">
        <v>3720</v>
      </c>
      <c r="D400" s="3" t="n">
        <v>592</v>
      </c>
      <c r="E400" s="3" t="n">
        <v>1172</v>
      </c>
      <c r="F400" s="3" t="n">
        <v>11772</v>
      </c>
      <c r="G400" s="3" t="n">
        <v>16</v>
      </c>
      <c r="H400" s="3" t="n">
        <v>2039132.6</v>
      </c>
      <c r="I400" s="3" t="n">
        <v>2315</v>
      </c>
      <c r="J400" s="3" t="n">
        <v>593573</v>
      </c>
      <c r="K400" s="3" t="n">
        <v>115117</v>
      </c>
      <c r="L400" s="3" t="n">
        <v>700</v>
      </c>
      <c r="M400" s="4" t="n">
        <f aca="false">IFERROR(D400/C400,0)</f>
        <v>0.159139784946237</v>
      </c>
      <c r="N400" s="4" t="n">
        <f aca="false">IFERROR(E400/C400,0)</f>
        <v>0.31505376344086</v>
      </c>
      <c r="O400" s="5" t="n">
        <f aca="false">IFERROR(F400/MAX(C400-D400,1),0)</f>
        <v>3.76342710997442</v>
      </c>
      <c r="P400" s="5" t="n">
        <f aca="false">IFERROR(F400/C400,0)</f>
        <v>3.16451612903226</v>
      </c>
      <c r="Q400" s="5" t="n">
        <f aca="false">IFERROR(H400/C400,0)</f>
        <v>548.153924731183</v>
      </c>
      <c r="R400" s="4" t="n">
        <f aca="false">IFERROR(I400/F400,0)</f>
        <v>0.196653075093442</v>
      </c>
      <c r="S400" s="4" t="n">
        <f aca="false">IFERROR(K400/J400,0)</f>
        <v>0.193939077417605</v>
      </c>
      <c r="T400" s="6" t="s">
        <v>23</v>
      </c>
    </row>
    <row r="401" customFormat="false" ht="15" hidden="false" customHeight="false" outlineLevel="0" collapsed="false">
      <c r="A401" s="3" t="s">
        <v>434</v>
      </c>
      <c r="B401" s="3" t="s">
        <v>26</v>
      </c>
      <c r="C401" s="3" t="n">
        <v>784</v>
      </c>
      <c r="D401" s="3" t="n">
        <v>101</v>
      </c>
      <c r="E401" s="3" t="n">
        <v>304</v>
      </c>
      <c r="F401" s="3" t="n">
        <v>3072</v>
      </c>
      <c r="G401" s="3" t="n">
        <v>19</v>
      </c>
      <c r="H401" s="3" t="n">
        <v>539425.9</v>
      </c>
      <c r="I401" s="3" t="n">
        <v>775</v>
      </c>
      <c r="J401" s="3" t="n">
        <v>105871</v>
      </c>
      <c r="K401" s="3" t="n">
        <v>21870</v>
      </c>
      <c r="L401" s="3" t="n">
        <v>134</v>
      </c>
      <c r="M401" s="4" t="n">
        <f aca="false">IFERROR(D401/C401,0)</f>
        <v>0.128826530612245</v>
      </c>
      <c r="N401" s="4" t="n">
        <f aca="false">IFERROR(E401/C401,0)</f>
        <v>0.387755102040816</v>
      </c>
      <c r="O401" s="5" t="n">
        <f aca="false">IFERROR(F401/MAX(C401-D401,1),0)</f>
        <v>4.49780380673499</v>
      </c>
      <c r="P401" s="5" t="n">
        <f aca="false">IFERROR(F401/C401,0)</f>
        <v>3.91836734693878</v>
      </c>
      <c r="Q401" s="5" t="n">
        <f aca="false">IFERROR(H401/C401,0)</f>
        <v>688.043239795919</v>
      </c>
      <c r="R401" s="4" t="n">
        <f aca="false">IFERROR(I401/F401,0)</f>
        <v>0.252278645833333</v>
      </c>
      <c r="S401" s="4" t="n">
        <f aca="false">IFERROR(K401/J401,0)</f>
        <v>0.206572149124878</v>
      </c>
      <c r="T401" s="6" t="s">
        <v>23</v>
      </c>
    </row>
    <row r="402" customFormat="false" ht="15" hidden="false" customHeight="false" outlineLevel="0" collapsed="false">
      <c r="A402" s="3" t="s">
        <v>435</v>
      </c>
      <c r="B402" s="3" t="s">
        <v>26</v>
      </c>
      <c r="C402" s="3" t="n">
        <v>3597</v>
      </c>
      <c r="D402" s="3" t="n">
        <v>197</v>
      </c>
      <c r="E402" s="3" t="n">
        <v>893</v>
      </c>
      <c r="F402" s="3" t="n">
        <v>5059</v>
      </c>
      <c r="G402" s="3" t="n">
        <v>3</v>
      </c>
      <c r="H402" s="3" t="n">
        <v>648409.7</v>
      </c>
      <c r="I402" s="3" t="n">
        <v>474</v>
      </c>
      <c r="J402" s="3" t="n">
        <v>633422</v>
      </c>
      <c r="K402" s="3" t="n">
        <v>86108</v>
      </c>
      <c r="L402" s="3" t="n">
        <v>1024</v>
      </c>
      <c r="M402" s="4" t="n">
        <f aca="false">IFERROR(D402/C402,0)</f>
        <v>0.0547678621073116</v>
      </c>
      <c r="N402" s="4" t="n">
        <f aca="false">IFERROR(E402/C402,0)</f>
        <v>0.248262440922991</v>
      </c>
      <c r="O402" s="5" t="n">
        <f aca="false">IFERROR(F402/MAX(C402-D402,1),0)</f>
        <v>1.48794117647059</v>
      </c>
      <c r="P402" s="5" t="n">
        <f aca="false">IFERROR(F402/C402,0)</f>
        <v>1.40644981929386</v>
      </c>
      <c r="Q402" s="5" t="n">
        <f aca="false">IFERROR(H402/C402,0)</f>
        <v>180.26402557687</v>
      </c>
      <c r="R402" s="4" t="n">
        <f aca="false">IFERROR(I402/F402,0)</f>
        <v>0.0936944060090927</v>
      </c>
      <c r="S402" s="4" t="n">
        <f aca="false">IFERROR(K402/J402,0)</f>
        <v>0.135940968264443</v>
      </c>
      <c r="T402" s="6" t="s">
        <v>23</v>
      </c>
    </row>
    <row r="403" customFormat="false" ht="15" hidden="false" customHeight="false" outlineLevel="0" collapsed="false">
      <c r="A403" s="3" t="s">
        <v>436</v>
      </c>
      <c r="B403" s="3" t="s">
        <v>26</v>
      </c>
      <c r="C403" s="3" t="n">
        <v>3245</v>
      </c>
      <c r="D403" s="3" t="n">
        <v>261</v>
      </c>
      <c r="E403" s="3" t="n">
        <v>989</v>
      </c>
      <c r="F403" s="3" t="n">
        <v>7251</v>
      </c>
      <c r="G403" s="3" t="n">
        <v>12</v>
      </c>
      <c r="H403" s="3" t="n">
        <v>1417299</v>
      </c>
      <c r="I403" s="3" t="n">
        <v>1279</v>
      </c>
      <c r="J403" s="3" t="n">
        <v>533850</v>
      </c>
      <c r="K403" s="3" t="n">
        <v>108556</v>
      </c>
      <c r="L403" s="3" t="n">
        <v>956</v>
      </c>
      <c r="M403" s="4" t="n">
        <f aca="false">IFERROR(D403/C403,0)</f>
        <v>0.0804314329738059</v>
      </c>
      <c r="N403" s="4" t="n">
        <f aca="false">IFERROR(E403/C403,0)</f>
        <v>0.304776579352851</v>
      </c>
      <c r="O403" s="5" t="n">
        <f aca="false">IFERROR(F403/MAX(C403-D403,1),0)</f>
        <v>2.42995978552279</v>
      </c>
      <c r="P403" s="5" t="n">
        <f aca="false">IFERROR(F403/C403,0)</f>
        <v>2.23451463790447</v>
      </c>
      <c r="Q403" s="5" t="n">
        <f aca="false">IFERROR(H403/C403,0)</f>
        <v>436.763944530046</v>
      </c>
      <c r="R403" s="4" t="n">
        <f aca="false">IFERROR(I403/F403,0)</f>
        <v>0.176389463522273</v>
      </c>
      <c r="S403" s="4" t="n">
        <f aca="false">IFERROR(K403/J403,0)</f>
        <v>0.203345509038119</v>
      </c>
      <c r="T403" s="6" t="s">
        <v>23</v>
      </c>
    </row>
    <row r="404" customFormat="false" ht="15" hidden="false" customHeight="false" outlineLevel="0" collapsed="false">
      <c r="A404" s="3" t="s">
        <v>437</v>
      </c>
      <c r="B404" s="3" t="s">
        <v>26</v>
      </c>
      <c r="C404" s="3" t="n">
        <v>682</v>
      </c>
      <c r="D404" s="3" t="n">
        <v>69</v>
      </c>
      <c r="E404" s="3" t="n">
        <v>247</v>
      </c>
      <c r="F404" s="3" t="n">
        <v>2617</v>
      </c>
      <c r="G404" s="3" t="n">
        <v>16</v>
      </c>
      <c r="H404" s="3" t="n">
        <v>323987.9</v>
      </c>
      <c r="I404" s="3" t="n">
        <v>604</v>
      </c>
      <c r="J404" s="3" t="n">
        <v>114026</v>
      </c>
      <c r="K404" s="3" t="n">
        <v>26779</v>
      </c>
      <c r="L404" s="3" t="n">
        <v>304</v>
      </c>
      <c r="M404" s="4" t="n">
        <f aca="false">IFERROR(D404/C404,0)</f>
        <v>0.101173020527859</v>
      </c>
      <c r="N404" s="4" t="n">
        <f aca="false">IFERROR(E404/C404,0)</f>
        <v>0.36217008797654</v>
      </c>
      <c r="O404" s="5" t="n">
        <f aca="false">IFERROR(F404/MAX(C404-D404,1),0)</f>
        <v>4.26916802610114</v>
      </c>
      <c r="P404" s="5" t="n">
        <f aca="false">IFERROR(F404/C404,0)</f>
        <v>3.83724340175953</v>
      </c>
      <c r="Q404" s="5" t="n">
        <f aca="false">IFERROR(H404/C404,0)</f>
        <v>475.055571847507</v>
      </c>
      <c r="R404" s="4" t="n">
        <f aca="false">IFERROR(I404/F404,0)</f>
        <v>0.23079862437906</v>
      </c>
      <c r="S404" s="4" t="n">
        <f aca="false">IFERROR(K404/J404,0)</f>
        <v>0.234849946503429</v>
      </c>
      <c r="T404" s="6" t="s">
        <v>23</v>
      </c>
    </row>
    <row r="405" customFormat="false" ht="15" hidden="false" customHeight="false" outlineLevel="0" collapsed="false">
      <c r="A405" s="3" t="s">
        <v>438</v>
      </c>
      <c r="B405" s="3" t="s">
        <v>22</v>
      </c>
      <c r="C405" s="3" t="n">
        <v>629</v>
      </c>
      <c r="D405" s="3" t="n">
        <v>51</v>
      </c>
      <c r="E405" s="3" t="n">
        <v>149</v>
      </c>
      <c r="F405" s="3" t="n">
        <v>1065</v>
      </c>
      <c r="G405" s="3" t="n">
        <v>6</v>
      </c>
      <c r="H405" s="3" t="n">
        <v>153917.3</v>
      </c>
      <c r="I405" s="3" t="n">
        <v>225</v>
      </c>
      <c r="J405" s="3" t="n">
        <v>75981</v>
      </c>
      <c r="K405" s="3" t="n">
        <v>12820</v>
      </c>
      <c r="L405" s="3" t="n">
        <v>152</v>
      </c>
      <c r="M405" s="4" t="n">
        <f aca="false">IFERROR(D405/C405,0)</f>
        <v>0.0810810810810811</v>
      </c>
      <c r="N405" s="4" t="n">
        <f aca="false">IFERROR(E405/C405,0)</f>
        <v>0.236883942766296</v>
      </c>
      <c r="O405" s="5" t="n">
        <f aca="false">IFERROR(F405/MAX(C405-D405,1),0)</f>
        <v>1.84256055363322</v>
      </c>
      <c r="P405" s="5" t="n">
        <f aca="false">IFERROR(F405/C405,0)</f>
        <v>1.69316375198728</v>
      </c>
      <c r="Q405" s="5" t="n">
        <f aca="false">IFERROR(H405/C405,0)</f>
        <v>244.701589825119</v>
      </c>
      <c r="R405" s="4" t="n">
        <f aca="false">IFERROR(I405/F405,0)</f>
        <v>0.211267605633803</v>
      </c>
      <c r="S405" s="4" t="n">
        <f aca="false">IFERROR(K405/J405,0)</f>
        <v>0.168726392124347</v>
      </c>
      <c r="T405" s="6" t="s">
        <v>23</v>
      </c>
    </row>
    <row r="406" customFormat="false" ht="15" hidden="false" customHeight="false" outlineLevel="0" collapsed="false">
      <c r="A406" s="3" t="s">
        <v>439</v>
      </c>
      <c r="B406" s="3" t="s">
        <v>26</v>
      </c>
      <c r="C406" s="3" t="n">
        <v>3084</v>
      </c>
      <c r="D406" s="3" t="n">
        <v>438</v>
      </c>
      <c r="E406" s="3" t="n">
        <v>1085</v>
      </c>
      <c r="F406" s="3" t="n">
        <v>8795</v>
      </c>
      <c r="G406" s="3" t="n">
        <v>15</v>
      </c>
      <c r="H406" s="3" t="n">
        <v>1255154.5</v>
      </c>
      <c r="I406" s="3" t="n">
        <v>998</v>
      </c>
      <c r="J406" s="3" t="n">
        <v>328178</v>
      </c>
      <c r="K406" s="3" t="n">
        <v>50750</v>
      </c>
      <c r="L406" s="3" t="n">
        <v>1426</v>
      </c>
      <c r="M406" s="4" t="n">
        <f aca="false">IFERROR(D406/C406,0)</f>
        <v>0.142023346303502</v>
      </c>
      <c r="N406" s="4" t="n">
        <f aca="false">IFERROR(E406/C406,0)</f>
        <v>0.351815823605707</v>
      </c>
      <c r="O406" s="5" t="n">
        <f aca="false">IFERROR(F406/MAX(C406-D406,1),0)</f>
        <v>3.3238851095994</v>
      </c>
      <c r="P406" s="5" t="n">
        <f aca="false">IFERROR(F406/C406,0)</f>
        <v>2.85181582360571</v>
      </c>
      <c r="Q406" s="5" t="n">
        <f aca="false">IFERROR(H406/C406,0)</f>
        <v>406.989137483787</v>
      </c>
      <c r="R406" s="4" t="n">
        <f aca="false">IFERROR(I406/F406,0)</f>
        <v>0.113473564525298</v>
      </c>
      <c r="S406" s="4" t="n">
        <f aca="false">IFERROR(K406/J406,0)</f>
        <v>0.154641688352053</v>
      </c>
      <c r="T406" s="6" t="s">
        <v>23</v>
      </c>
    </row>
    <row r="407" customFormat="false" ht="15" hidden="false" customHeight="false" outlineLevel="0" collapsed="false">
      <c r="A407" s="3" t="s">
        <v>440</v>
      </c>
      <c r="B407" s="3" t="s">
        <v>29</v>
      </c>
      <c r="C407" s="3" t="n">
        <v>1128</v>
      </c>
      <c r="D407" s="3" t="n">
        <v>151</v>
      </c>
      <c r="E407" s="3" t="n">
        <v>429</v>
      </c>
      <c r="F407" s="3" t="n">
        <v>4845</v>
      </c>
      <c r="G407" s="3" t="n">
        <v>17</v>
      </c>
      <c r="H407" s="3" t="n">
        <v>432719</v>
      </c>
      <c r="I407" s="3" t="n">
        <v>1208</v>
      </c>
      <c r="J407" s="3" t="n">
        <v>197166</v>
      </c>
      <c r="K407" s="3" t="n">
        <v>48168</v>
      </c>
      <c r="L407" s="3" t="n">
        <v>0</v>
      </c>
      <c r="M407" s="4" t="n">
        <f aca="false">IFERROR(D407/C407,0)</f>
        <v>0.13386524822695</v>
      </c>
      <c r="N407" s="4" t="n">
        <f aca="false">IFERROR(E407/C407,0)</f>
        <v>0.38031914893617</v>
      </c>
      <c r="O407" s="5" t="n">
        <f aca="false">IFERROR(F407/MAX(C407-D407,1),0)</f>
        <v>4.95905834186285</v>
      </c>
      <c r="P407" s="5" t="n">
        <f aca="false">IFERROR(F407/C407,0)</f>
        <v>4.29521276595745</v>
      </c>
      <c r="Q407" s="5" t="n">
        <f aca="false">IFERROR(H407/C407,0)</f>
        <v>383.616134751773</v>
      </c>
      <c r="R407" s="4" t="n">
        <f aca="false">IFERROR(I407/F407,0)</f>
        <v>0.249329205366357</v>
      </c>
      <c r="S407" s="4" t="n">
        <f aca="false">IFERROR(K407/J407,0)</f>
        <v>0.244301755880831</v>
      </c>
      <c r="T407" s="6" t="s">
        <v>23</v>
      </c>
    </row>
    <row r="408" customFormat="false" ht="15" hidden="false" customHeight="false" outlineLevel="0" collapsed="false">
      <c r="A408" s="3" t="s">
        <v>441</v>
      </c>
      <c r="B408" s="3" t="s">
        <v>29</v>
      </c>
      <c r="C408" s="3" t="n">
        <v>2577</v>
      </c>
      <c r="D408" s="3" t="n">
        <v>219</v>
      </c>
      <c r="E408" s="3" t="n">
        <v>926</v>
      </c>
      <c r="F408" s="3" t="n">
        <v>8113</v>
      </c>
      <c r="G408" s="3" t="n">
        <v>11</v>
      </c>
      <c r="H408" s="3" t="n">
        <v>984066.2</v>
      </c>
      <c r="I408" s="3" t="n">
        <v>1310</v>
      </c>
      <c r="J408" s="3" t="n">
        <v>340850</v>
      </c>
      <c r="K408" s="3" t="n">
        <v>83506</v>
      </c>
      <c r="L408" s="3" t="n">
        <v>0</v>
      </c>
      <c r="M408" s="4" t="n">
        <f aca="false">IFERROR(D408/C408,0)</f>
        <v>0.0849825378346915</v>
      </c>
      <c r="N408" s="4" t="n">
        <f aca="false">IFERROR(E408/C408,0)</f>
        <v>0.359332557237097</v>
      </c>
      <c r="O408" s="5" t="n">
        <f aca="false">IFERROR(F408/MAX(C408-D408,1),0)</f>
        <v>3.44062765055131</v>
      </c>
      <c r="P408" s="5" t="n">
        <f aca="false">IFERROR(F408/C408,0)</f>
        <v>3.14823438106325</v>
      </c>
      <c r="Q408" s="5" t="n">
        <f aca="false">IFERROR(H408/C408,0)</f>
        <v>381.865036864571</v>
      </c>
      <c r="R408" s="4" t="n">
        <f aca="false">IFERROR(I408/F408,0)</f>
        <v>0.161469246887711</v>
      </c>
      <c r="S408" s="4" t="n">
        <f aca="false">IFERROR(K408/J408,0)</f>
        <v>0.244993398855802</v>
      </c>
      <c r="T408" s="6" t="s">
        <v>23</v>
      </c>
    </row>
    <row r="409" customFormat="false" ht="15" hidden="false" customHeight="false" outlineLevel="0" collapsed="false">
      <c r="A409" s="9" t="s">
        <v>442</v>
      </c>
      <c r="B409" s="9" t="s">
        <v>26</v>
      </c>
      <c r="C409" s="9" t="n">
        <v>1045</v>
      </c>
      <c r="D409" s="9" t="n">
        <v>455</v>
      </c>
      <c r="E409" s="9" t="n">
        <v>644</v>
      </c>
      <c r="F409" s="9" t="n">
        <v>7068</v>
      </c>
      <c r="G409" s="9" t="n">
        <v>23</v>
      </c>
      <c r="H409" s="9" t="n">
        <v>990871.9</v>
      </c>
      <c r="I409" s="9" t="n">
        <v>4767</v>
      </c>
      <c r="J409" s="9" t="n">
        <v>143871</v>
      </c>
      <c r="K409" s="9" t="n">
        <v>88705</v>
      </c>
      <c r="L409" s="9" t="n">
        <v>473</v>
      </c>
      <c r="M409" s="10" t="n">
        <f aca="false">IFERROR(D409/C409,0)</f>
        <v>0.435406698564593</v>
      </c>
      <c r="N409" s="10" t="n">
        <f aca="false">IFERROR(E409/C409,0)</f>
        <v>0.616267942583732</v>
      </c>
      <c r="O409" s="11" t="n">
        <f aca="false">IFERROR(F409/MAX(C409-D409,1),0)</f>
        <v>11.9796610169492</v>
      </c>
      <c r="P409" s="11" t="n">
        <f aca="false">IFERROR(F409/C409,0)</f>
        <v>6.76363636363636</v>
      </c>
      <c r="Q409" s="11" t="n">
        <f aca="false">IFERROR(H409/C409,0)</f>
        <v>948.202775119617</v>
      </c>
      <c r="R409" s="10" t="n">
        <f aca="false">IFERROR(I409/F409,0)</f>
        <v>0.674448217317487</v>
      </c>
      <c r="S409" s="10" t="n">
        <f aca="false">IFERROR(K409/J409,0)</f>
        <v>0.616559278798368</v>
      </c>
      <c r="T409" s="12" t="s">
        <v>30</v>
      </c>
    </row>
    <row r="410" customFormat="false" ht="15" hidden="false" customHeight="false" outlineLevel="0" collapsed="false">
      <c r="A410" s="3" t="s">
        <v>443</v>
      </c>
      <c r="B410" s="3" t="s">
        <v>22</v>
      </c>
      <c r="C410" s="3" t="n">
        <v>3642</v>
      </c>
      <c r="D410" s="3" t="n">
        <v>410</v>
      </c>
      <c r="E410" s="3" t="n">
        <v>1314</v>
      </c>
      <c r="F410" s="3" t="n">
        <v>13018</v>
      </c>
      <c r="G410" s="3" t="n">
        <v>17</v>
      </c>
      <c r="H410" s="3" t="n">
        <v>1266725</v>
      </c>
      <c r="I410" s="3" t="n">
        <v>2295</v>
      </c>
      <c r="J410" s="3" t="n">
        <v>322129</v>
      </c>
      <c r="K410" s="3" t="n">
        <v>45434</v>
      </c>
      <c r="L410" s="3" t="n">
        <v>1203</v>
      </c>
      <c r="M410" s="4" t="n">
        <f aca="false">IFERROR(D410/C410,0)</f>
        <v>0.112575507962658</v>
      </c>
      <c r="N410" s="4" t="n">
        <f aca="false">IFERROR(E410/C410,0)</f>
        <v>0.360790774299835</v>
      </c>
      <c r="O410" s="5" t="n">
        <f aca="false">IFERROR(F410/MAX(C410-D410,1),0)</f>
        <v>4.02784653465347</v>
      </c>
      <c r="P410" s="5" t="n">
        <f aca="false">IFERROR(F410/C410,0)</f>
        <v>3.57440966501922</v>
      </c>
      <c r="Q410" s="5" t="n">
        <f aca="false">IFERROR(H410/C410,0)</f>
        <v>347.810269082922</v>
      </c>
      <c r="R410" s="4" t="n">
        <f aca="false">IFERROR(I410/F410,0)</f>
        <v>0.176294361653096</v>
      </c>
      <c r="S410" s="4" t="n">
        <f aca="false">IFERROR(K410/J410,0)</f>
        <v>0.141042874128067</v>
      </c>
      <c r="T410" s="6" t="s">
        <v>23</v>
      </c>
    </row>
    <row r="411" customFormat="false" ht="15" hidden="false" customHeight="false" outlineLevel="0" collapsed="false">
      <c r="A411" s="3" t="s">
        <v>444</v>
      </c>
      <c r="B411" s="3" t="s">
        <v>29</v>
      </c>
      <c r="C411" s="3" t="n">
        <v>1654</v>
      </c>
      <c r="D411" s="3" t="n">
        <v>175</v>
      </c>
      <c r="E411" s="3" t="n">
        <v>446</v>
      </c>
      <c r="F411" s="3" t="n">
        <v>4788</v>
      </c>
      <c r="G411" s="3" t="n">
        <v>10</v>
      </c>
      <c r="H411" s="3" t="n">
        <v>874851.6</v>
      </c>
      <c r="I411" s="3" t="n">
        <v>1143</v>
      </c>
      <c r="J411" s="3" t="n">
        <v>146670</v>
      </c>
      <c r="K411" s="3" t="n">
        <v>25041</v>
      </c>
      <c r="L411" s="3" t="n">
        <v>0</v>
      </c>
      <c r="M411" s="4" t="n">
        <f aca="false">IFERROR(D411/C411,0)</f>
        <v>0.105804111245466</v>
      </c>
      <c r="N411" s="4" t="n">
        <f aca="false">IFERROR(E411/C411,0)</f>
        <v>0.269649334945586</v>
      </c>
      <c r="O411" s="5" t="n">
        <f aca="false">IFERROR(F411/MAX(C411-D411,1),0)</f>
        <v>3.23732251521298</v>
      </c>
      <c r="P411" s="5" t="n">
        <f aca="false">IFERROR(F411/C411,0)</f>
        <v>2.89480048367594</v>
      </c>
      <c r="Q411" s="5" t="n">
        <f aca="false">IFERROR(H411/C411,0)</f>
        <v>528.930834340992</v>
      </c>
      <c r="R411" s="4" t="n">
        <f aca="false">IFERROR(I411/F411,0)</f>
        <v>0.238721804511278</v>
      </c>
      <c r="S411" s="4" t="n">
        <f aca="false">IFERROR(K411/J411,0)</f>
        <v>0.17073021067703</v>
      </c>
      <c r="T411" s="6" t="s">
        <v>23</v>
      </c>
    </row>
    <row r="412" customFormat="false" ht="15" hidden="false" customHeight="false" outlineLevel="0" collapsed="false">
      <c r="A412" s="3" t="s">
        <v>445</v>
      </c>
      <c r="B412" s="3" t="s">
        <v>22</v>
      </c>
      <c r="C412" s="3" t="n">
        <v>297</v>
      </c>
      <c r="D412" s="3" t="n">
        <v>38</v>
      </c>
      <c r="E412" s="3" t="n">
        <v>103</v>
      </c>
      <c r="F412" s="3" t="n">
        <v>1088</v>
      </c>
      <c r="G412" s="3" t="n">
        <v>17</v>
      </c>
      <c r="H412" s="3" t="n">
        <v>142113.8</v>
      </c>
      <c r="I412" s="3" t="n">
        <v>240</v>
      </c>
      <c r="J412" s="3" t="n">
        <v>27782</v>
      </c>
      <c r="K412" s="3" t="n">
        <v>3415</v>
      </c>
      <c r="L412" s="3" t="n">
        <v>76</v>
      </c>
      <c r="M412" s="4" t="n">
        <f aca="false">IFERROR(D412/C412,0)</f>
        <v>0.127946127946128</v>
      </c>
      <c r="N412" s="4" t="n">
        <f aca="false">IFERROR(E412/C412,0)</f>
        <v>0.346801346801347</v>
      </c>
      <c r="O412" s="5" t="n">
        <f aca="false">IFERROR(F412/MAX(C412-D412,1),0)</f>
        <v>4.2007722007722</v>
      </c>
      <c r="P412" s="5" t="n">
        <f aca="false">IFERROR(F412/C412,0)</f>
        <v>3.66329966329966</v>
      </c>
      <c r="Q412" s="5" t="n">
        <f aca="false">IFERROR(H412/C412,0)</f>
        <v>478.497643097643</v>
      </c>
      <c r="R412" s="4" t="n">
        <f aca="false">IFERROR(I412/F412,0)</f>
        <v>0.220588235294118</v>
      </c>
      <c r="S412" s="4" t="n">
        <f aca="false">IFERROR(K412/J412,0)</f>
        <v>0.122921315959974</v>
      </c>
      <c r="T412" s="6" t="s">
        <v>23</v>
      </c>
    </row>
    <row r="413" customFormat="false" ht="15" hidden="false" customHeight="false" outlineLevel="0" collapsed="false">
      <c r="A413" s="3" t="s">
        <v>446</v>
      </c>
      <c r="B413" s="3" t="s">
        <v>29</v>
      </c>
      <c r="C413" s="3" t="n">
        <v>3289</v>
      </c>
      <c r="D413" s="3" t="n">
        <v>260</v>
      </c>
      <c r="E413" s="3" t="n">
        <v>1278</v>
      </c>
      <c r="F413" s="3" t="n">
        <v>6176</v>
      </c>
      <c r="G413" s="3" t="n">
        <v>7</v>
      </c>
      <c r="H413" s="3" t="n">
        <v>1705399.8</v>
      </c>
      <c r="I413" s="3" t="n">
        <v>1165</v>
      </c>
      <c r="J413" s="3" t="n">
        <v>334656</v>
      </c>
      <c r="K413" s="3" t="n">
        <v>54299</v>
      </c>
      <c r="L413" s="3" t="n">
        <v>0</v>
      </c>
      <c r="M413" s="4" t="n">
        <f aca="false">IFERROR(D413/C413,0)</f>
        <v>0.0790513833992095</v>
      </c>
      <c r="N413" s="4" t="n">
        <f aca="false">IFERROR(E413/C413,0)</f>
        <v>0.388567953785345</v>
      </c>
      <c r="O413" s="5" t="n">
        <f aca="false">IFERROR(F413/MAX(C413-D413,1),0)</f>
        <v>2.0389567514031</v>
      </c>
      <c r="P413" s="5" t="n">
        <f aca="false">IFERROR(F413/C413,0)</f>
        <v>1.87777439951353</v>
      </c>
      <c r="Q413" s="5" t="n">
        <f aca="false">IFERROR(H413/C413,0)</f>
        <v>518.516205533597</v>
      </c>
      <c r="R413" s="4" t="n">
        <f aca="false">IFERROR(I413/F413,0)</f>
        <v>0.188633419689119</v>
      </c>
      <c r="S413" s="4" t="n">
        <f aca="false">IFERROR(K413/J413,0)</f>
        <v>0.162253179384203</v>
      </c>
      <c r="T413" s="6" t="s">
        <v>23</v>
      </c>
    </row>
    <row r="414" customFormat="false" ht="15" hidden="false" customHeight="false" outlineLevel="0" collapsed="false">
      <c r="A414" s="3" t="s">
        <v>447</v>
      </c>
      <c r="B414" s="3" t="s">
        <v>29</v>
      </c>
      <c r="C414" s="3" t="n">
        <v>567</v>
      </c>
      <c r="D414" s="3" t="n">
        <v>80</v>
      </c>
      <c r="E414" s="3" t="n">
        <v>223</v>
      </c>
      <c r="F414" s="3" t="n">
        <v>2284</v>
      </c>
      <c r="G414" s="3" t="n">
        <v>15</v>
      </c>
      <c r="H414" s="3" t="n">
        <v>322560.2</v>
      </c>
      <c r="I414" s="3" t="n">
        <v>554</v>
      </c>
      <c r="J414" s="3" t="n">
        <v>53230</v>
      </c>
      <c r="K414" s="3" t="n">
        <v>14894</v>
      </c>
      <c r="L414" s="3" t="n">
        <v>0</v>
      </c>
      <c r="M414" s="4" t="n">
        <f aca="false">IFERROR(D414/C414,0)</f>
        <v>0.141093474426808</v>
      </c>
      <c r="N414" s="4" t="n">
        <f aca="false">IFERROR(E414/C414,0)</f>
        <v>0.393298059964727</v>
      </c>
      <c r="O414" s="5" t="n">
        <f aca="false">IFERROR(F414/MAX(C414-D414,1),0)</f>
        <v>4.68993839835729</v>
      </c>
      <c r="P414" s="5" t="n">
        <f aca="false">IFERROR(F414/C414,0)</f>
        <v>4.02821869488536</v>
      </c>
      <c r="Q414" s="5" t="n">
        <f aca="false">IFERROR(H414/C414,0)</f>
        <v>568.889241622575</v>
      </c>
      <c r="R414" s="4" t="n">
        <f aca="false">IFERROR(I414/F414,0)</f>
        <v>0.242556917688266</v>
      </c>
      <c r="S414" s="4" t="n">
        <f aca="false">IFERROR(K414/J414,0)</f>
        <v>0.279804621454067</v>
      </c>
      <c r="T414" s="6" t="s">
        <v>23</v>
      </c>
    </row>
    <row r="415" customFormat="false" ht="15" hidden="false" customHeight="false" outlineLevel="0" collapsed="false">
      <c r="A415" s="3" t="s">
        <v>448</v>
      </c>
      <c r="B415" s="3" t="s">
        <v>22</v>
      </c>
      <c r="C415" s="3" t="n">
        <v>1355</v>
      </c>
      <c r="D415" s="3" t="n">
        <v>216</v>
      </c>
      <c r="E415" s="3" t="n">
        <v>434</v>
      </c>
      <c r="F415" s="3" t="n">
        <v>3343</v>
      </c>
      <c r="G415" s="3" t="n">
        <v>15</v>
      </c>
      <c r="H415" s="3" t="n">
        <v>712109.7</v>
      </c>
      <c r="I415" s="3" t="n">
        <v>731</v>
      </c>
      <c r="J415" s="3" t="n">
        <v>118665</v>
      </c>
      <c r="K415" s="3" t="n">
        <v>30318</v>
      </c>
      <c r="L415" s="3" t="n">
        <v>406</v>
      </c>
      <c r="M415" s="4" t="n">
        <f aca="false">IFERROR(D415/C415,0)</f>
        <v>0.159409594095941</v>
      </c>
      <c r="N415" s="4" t="n">
        <f aca="false">IFERROR(E415/C415,0)</f>
        <v>0.32029520295203</v>
      </c>
      <c r="O415" s="5" t="n">
        <f aca="false">IFERROR(F415/MAX(C415-D415,1),0)</f>
        <v>2.93503072870939</v>
      </c>
      <c r="P415" s="5" t="n">
        <f aca="false">IFERROR(F415/C415,0)</f>
        <v>2.46715867158672</v>
      </c>
      <c r="Q415" s="5" t="n">
        <f aca="false">IFERROR(H415/C415,0)</f>
        <v>525.54221402214</v>
      </c>
      <c r="R415" s="4" t="n">
        <f aca="false">IFERROR(I415/F415,0)</f>
        <v>0.218665868979958</v>
      </c>
      <c r="S415" s="4" t="n">
        <f aca="false">IFERROR(K415/J415,0)</f>
        <v>0.25549235242068</v>
      </c>
      <c r="T415" s="6" t="s">
        <v>23</v>
      </c>
    </row>
    <row r="416" customFormat="false" ht="15" hidden="false" customHeight="false" outlineLevel="0" collapsed="false">
      <c r="A416" s="3" t="s">
        <v>449</v>
      </c>
      <c r="B416" s="3" t="s">
        <v>22</v>
      </c>
      <c r="C416" s="3" t="n">
        <v>2115</v>
      </c>
      <c r="D416" s="3" t="n">
        <v>200</v>
      </c>
      <c r="E416" s="3" t="n">
        <v>812</v>
      </c>
      <c r="F416" s="3" t="n">
        <v>4883</v>
      </c>
      <c r="G416" s="3" t="n">
        <v>7</v>
      </c>
      <c r="H416" s="3" t="n">
        <v>910704.4</v>
      </c>
      <c r="I416" s="3" t="n">
        <v>732</v>
      </c>
      <c r="J416" s="3" t="n">
        <v>184633</v>
      </c>
      <c r="K416" s="3" t="n">
        <v>30860</v>
      </c>
      <c r="L416" s="3" t="n">
        <v>367</v>
      </c>
      <c r="M416" s="4" t="n">
        <f aca="false">IFERROR(D416/C416,0)</f>
        <v>0.0945626477541371</v>
      </c>
      <c r="N416" s="4" t="n">
        <f aca="false">IFERROR(E416/C416,0)</f>
        <v>0.383924349881797</v>
      </c>
      <c r="O416" s="5" t="n">
        <f aca="false">IFERROR(F416/MAX(C416-D416,1),0)</f>
        <v>2.54986945169713</v>
      </c>
      <c r="P416" s="5" t="n">
        <f aca="false">IFERROR(F416/C416,0)</f>
        <v>2.30874704491726</v>
      </c>
      <c r="Q416" s="5" t="n">
        <f aca="false">IFERROR(H416/C416,0)</f>
        <v>430.593096926714</v>
      </c>
      <c r="R416" s="4" t="n">
        <f aca="false">IFERROR(I416/F416,0)</f>
        <v>0.149907843538808</v>
      </c>
      <c r="S416" s="4" t="n">
        <f aca="false">IFERROR(K416/J416,0)</f>
        <v>0.167142385164082</v>
      </c>
      <c r="T416" s="6" t="s">
        <v>23</v>
      </c>
    </row>
    <row r="417" customFormat="false" ht="15" hidden="false" customHeight="false" outlineLevel="0" collapsed="false">
      <c r="A417" s="3" t="s">
        <v>450</v>
      </c>
      <c r="B417" s="3" t="s">
        <v>26</v>
      </c>
      <c r="C417" s="3" t="n">
        <v>2646</v>
      </c>
      <c r="D417" s="3" t="n">
        <v>225</v>
      </c>
      <c r="E417" s="3" t="n">
        <v>702</v>
      </c>
      <c r="F417" s="3" t="n">
        <v>2674</v>
      </c>
      <c r="G417" s="3" t="n">
        <v>8</v>
      </c>
      <c r="H417" s="3" t="n">
        <v>1332993.8</v>
      </c>
      <c r="I417" s="3" t="n">
        <v>425</v>
      </c>
      <c r="J417" s="3" t="n">
        <v>485746</v>
      </c>
      <c r="K417" s="3" t="n">
        <v>84408</v>
      </c>
      <c r="L417" s="3" t="n">
        <v>403</v>
      </c>
      <c r="M417" s="4" t="n">
        <f aca="false">IFERROR(D417/C417,0)</f>
        <v>0.0850340136054422</v>
      </c>
      <c r="N417" s="4" t="n">
        <f aca="false">IFERROR(E417/C417,0)</f>
        <v>0.26530612244898</v>
      </c>
      <c r="O417" s="5" t="n">
        <f aca="false">IFERROR(F417/MAX(C417-D417,1),0)</f>
        <v>1.10450227178852</v>
      </c>
      <c r="P417" s="5" t="n">
        <f aca="false">IFERROR(F417/C417,0)</f>
        <v>1.01058201058201</v>
      </c>
      <c r="Q417" s="5" t="n">
        <f aca="false">IFERROR(H417/C417,0)</f>
        <v>503.776946334089</v>
      </c>
      <c r="R417" s="4" t="n">
        <f aca="false">IFERROR(I417/F417,0)</f>
        <v>0.158937920718025</v>
      </c>
      <c r="S417" s="4" t="n">
        <f aca="false">IFERROR(K417/J417,0)</f>
        <v>0.173769830322844</v>
      </c>
      <c r="T417" s="6" t="s">
        <v>23</v>
      </c>
    </row>
    <row r="418" customFormat="false" ht="15" hidden="false" customHeight="false" outlineLevel="0" collapsed="false">
      <c r="A418" s="3" t="s">
        <v>451</v>
      </c>
      <c r="B418" s="3" t="s">
        <v>26</v>
      </c>
      <c r="C418" s="3" t="n">
        <v>2977</v>
      </c>
      <c r="D418" s="3" t="n">
        <v>495</v>
      </c>
      <c r="E418" s="3" t="n">
        <v>1525</v>
      </c>
      <c r="F418" s="3" t="n">
        <v>10580</v>
      </c>
      <c r="G418" s="3" t="n">
        <v>17</v>
      </c>
      <c r="H418" s="3" t="n">
        <v>1383713.2</v>
      </c>
      <c r="I418" s="3" t="n">
        <v>2453</v>
      </c>
      <c r="J418" s="3" t="n">
        <v>348331</v>
      </c>
      <c r="K418" s="3" t="n">
        <v>77198</v>
      </c>
      <c r="L418" s="3" t="n">
        <v>765</v>
      </c>
      <c r="M418" s="4" t="n">
        <f aca="false">IFERROR(D418/C418,0)</f>
        <v>0.166274773261673</v>
      </c>
      <c r="N418" s="4" t="n">
        <f aca="false">IFERROR(E418/C418,0)</f>
        <v>0.512260665099093</v>
      </c>
      <c r="O418" s="5" t="n">
        <f aca="false">IFERROR(F418/MAX(C418-D418,1),0)</f>
        <v>4.26269137792103</v>
      </c>
      <c r="P418" s="5" t="n">
        <f aca="false">IFERROR(F418/C418,0)</f>
        <v>3.55391333557272</v>
      </c>
      <c r="Q418" s="5" t="n">
        <f aca="false">IFERROR(H418/C418,0)</f>
        <v>464.801209271078</v>
      </c>
      <c r="R418" s="4" t="n">
        <f aca="false">IFERROR(I418/F418,0)</f>
        <v>0.231852551984877</v>
      </c>
      <c r="S418" s="4" t="n">
        <f aca="false">IFERROR(K418/J418,0)</f>
        <v>0.22162253718446</v>
      </c>
      <c r="T418" s="6" t="s">
        <v>23</v>
      </c>
    </row>
    <row r="419" customFormat="false" ht="15" hidden="false" customHeight="false" outlineLevel="0" collapsed="false">
      <c r="A419" s="3" t="s">
        <v>452</v>
      </c>
      <c r="B419" s="3" t="s">
        <v>29</v>
      </c>
      <c r="C419" s="3" t="n">
        <v>2876</v>
      </c>
      <c r="D419" s="3" t="n">
        <v>129</v>
      </c>
      <c r="E419" s="3" t="n">
        <v>778</v>
      </c>
      <c r="F419" s="3" t="n">
        <v>4981</v>
      </c>
      <c r="G419" s="3" t="n">
        <v>6</v>
      </c>
      <c r="H419" s="3" t="n">
        <v>817415.2</v>
      </c>
      <c r="I419" s="3" t="n">
        <v>412</v>
      </c>
      <c r="J419" s="3" t="n">
        <v>291695</v>
      </c>
      <c r="K419" s="3" t="n">
        <v>49685</v>
      </c>
      <c r="L419" s="3" t="n">
        <v>0</v>
      </c>
      <c r="M419" s="4" t="n">
        <f aca="false">IFERROR(D419/C419,0)</f>
        <v>0.0448539638386648</v>
      </c>
      <c r="N419" s="4" t="n">
        <f aca="false">IFERROR(E419/C419,0)</f>
        <v>0.270514603616134</v>
      </c>
      <c r="O419" s="5" t="n">
        <f aca="false">IFERROR(F419/MAX(C419-D419,1),0)</f>
        <v>1.81325081907536</v>
      </c>
      <c r="P419" s="5" t="n">
        <f aca="false">IFERROR(F419/C419,0)</f>
        <v>1.73191933240612</v>
      </c>
      <c r="Q419" s="5" t="n">
        <f aca="false">IFERROR(H419/C419,0)</f>
        <v>284.219471488178</v>
      </c>
      <c r="R419" s="4" t="n">
        <f aca="false">IFERROR(I419/F419,0)</f>
        <v>0.0827143143946999</v>
      </c>
      <c r="S419" s="4" t="n">
        <f aca="false">IFERROR(K419/J419,0)</f>
        <v>0.170332024889011</v>
      </c>
      <c r="T419" s="6" t="s">
        <v>23</v>
      </c>
    </row>
    <row r="420" customFormat="false" ht="15" hidden="false" customHeight="false" outlineLevel="0" collapsed="false">
      <c r="A420" s="9" t="s">
        <v>453</v>
      </c>
      <c r="B420" s="9" t="s">
        <v>26</v>
      </c>
      <c r="C420" s="9" t="n">
        <v>2527</v>
      </c>
      <c r="D420" s="9" t="n">
        <v>991</v>
      </c>
      <c r="E420" s="9" t="n">
        <v>1707</v>
      </c>
      <c r="F420" s="9" t="n">
        <v>20829</v>
      </c>
      <c r="G420" s="9" t="n">
        <v>28</v>
      </c>
      <c r="H420" s="9" t="n">
        <v>2846965.2</v>
      </c>
      <c r="I420" s="9" t="n">
        <v>16427</v>
      </c>
      <c r="J420" s="9" t="n">
        <v>365639</v>
      </c>
      <c r="K420" s="9" t="n">
        <v>217852</v>
      </c>
      <c r="L420" s="9" t="n">
        <v>941</v>
      </c>
      <c r="M420" s="10" t="n">
        <f aca="false">IFERROR(D420/C420,0)</f>
        <v>0.39216462208152</v>
      </c>
      <c r="N420" s="10" t="n">
        <f aca="false">IFERROR(E420/C420,0)</f>
        <v>0.675504550850811</v>
      </c>
      <c r="O420" s="11" t="n">
        <f aca="false">IFERROR(F420/MAX(C420-D420,1),0)</f>
        <v>13.560546875</v>
      </c>
      <c r="P420" s="11" t="n">
        <f aca="false">IFERROR(F420/C420,0)</f>
        <v>8.24258013454689</v>
      </c>
      <c r="Q420" s="11" t="n">
        <f aca="false">IFERROR(H420/C420,0)</f>
        <v>1126.6185991294</v>
      </c>
      <c r="R420" s="10" t="n">
        <f aca="false">IFERROR(I420/F420,0)</f>
        <v>0.788660041288588</v>
      </c>
      <c r="S420" s="10" t="n">
        <f aca="false">IFERROR(K420/J420,0)</f>
        <v>0.595811715927459</v>
      </c>
      <c r="T420" s="12" t="s">
        <v>30</v>
      </c>
    </row>
    <row r="421" customFormat="false" ht="15" hidden="false" customHeight="false" outlineLevel="0" collapsed="false">
      <c r="A421" s="3" t="s">
        <v>454</v>
      </c>
      <c r="B421" s="3" t="s">
        <v>26</v>
      </c>
      <c r="C421" s="3" t="n">
        <v>2018</v>
      </c>
      <c r="D421" s="3" t="n">
        <v>120</v>
      </c>
      <c r="E421" s="3" t="n">
        <v>667</v>
      </c>
      <c r="F421" s="3" t="n">
        <v>3916</v>
      </c>
      <c r="G421" s="3" t="n">
        <v>4</v>
      </c>
      <c r="H421" s="3" t="n">
        <v>672877.2</v>
      </c>
      <c r="I421" s="3" t="n">
        <v>548</v>
      </c>
      <c r="J421" s="3" t="n">
        <v>369868</v>
      </c>
      <c r="K421" s="3" t="n">
        <v>51895</v>
      </c>
      <c r="L421" s="3" t="n">
        <v>393</v>
      </c>
      <c r="M421" s="4" t="n">
        <f aca="false">IFERROR(D421/C421,0)</f>
        <v>0.0594648166501487</v>
      </c>
      <c r="N421" s="4" t="n">
        <f aca="false">IFERROR(E421/C421,0)</f>
        <v>0.330525272547076</v>
      </c>
      <c r="O421" s="5" t="n">
        <f aca="false">IFERROR(F421/MAX(C421-D421,1),0)</f>
        <v>2.06322444678609</v>
      </c>
      <c r="P421" s="5" t="n">
        <f aca="false">IFERROR(F421/C421,0)</f>
        <v>1.94053518334985</v>
      </c>
      <c r="Q421" s="5" t="n">
        <f aca="false">IFERROR(H421/C421,0)</f>
        <v>333.437661050545</v>
      </c>
      <c r="R421" s="4" t="n">
        <f aca="false">IFERROR(I421/F421,0)</f>
        <v>0.139938712972421</v>
      </c>
      <c r="S421" s="4" t="n">
        <f aca="false">IFERROR(K421/J421,0)</f>
        <v>0.140306812160014</v>
      </c>
      <c r="T421" s="6" t="s">
        <v>23</v>
      </c>
    </row>
    <row r="422" customFormat="false" ht="15" hidden="false" customHeight="false" outlineLevel="0" collapsed="false">
      <c r="A422" s="3" t="s">
        <v>455</v>
      </c>
      <c r="B422" s="3" t="s">
        <v>29</v>
      </c>
      <c r="C422" s="3" t="n">
        <v>1780</v>
      </c>
      <c r="D422" s="3" t="n">
        <v>78</v>
      </c>
      <c r="E422" s="3" t="n">
        <v>460</v>
      </c>
      <c r="F422" s="3" t="n">
        <v>3006</v>
      </c>
      <c r="G422" s="3" t="n">
        <v>5</v>
      </c>
      <c r="H422" s="3" t="n">
        <v>646026.1</v>
      </c>
      <c r="I422" s="3" t="n">
        <v>393</v>
      </c>
      <c r="J422" s="3" t="n">
        <v>207137</v>
      </c>
      <c r="K422" s="3" t="n">
        <v>38223</v>
      </c>
      <c r="L422" s="3" t="n">
        <v>0</v>
      </c>
      <c r="M422" s="4" t="n">
        <f aca="false">IFERROR(D422/C422,0)</f>
        <v>0.0438202247191011</v>
      </c>
      <c r="N422" s="4" t="n">
        <f aca="false">IFERROR(E422/C422,0)</f>
        <v>0.258426966292135</v>
      </c>
      <c r="O422" s="5" t="n">
        <f aca="false">IFERROR(F422/MAX(C422-D422,1),0)</f>
        <v>1.76615746180964</v>
      </c>
      <c r="P422" s="5" t="n">
        <f aca="false">IFERROR(F422/C422,0)</f>
        <v>1.68876404494382</v>
      </c>
      <c r="Q422" s="5" t="n">
        <f aca="false">IFERROR(H422/C422,0)</f>
        <v>362.936011235955</v>
      </c>
      <c r="R422" s="4" t="n">
        <f aca="false">IFERROR(I422/F422,0)</f>
        <v>0.130738522954092</v>
      </c>
      <c r="S422" s="4" t="n">
        <f aca="false">IFERROR(K422/J422,0)</f>
        <v>0.184530045332316</v>
      </c>
      <c r="T422" s="6" t="s">
        <v>23</v>
      </c>
    </row>
    <row r="423" customFormat="false" ht="15" hidden="false" customHeight="false" outlineLevel="0" collapsed="false">
      <c r="A423" s="3" t="s">
        <v>456</v>
      </c>
      <c r="B423" s="3" t="s">
        <v>22</v>
      </c>
      <c r="C423" s="3" t="n">
        <v>2696</v>
      </c>
      <c r="D423" s="3" t="n">
        <v>266</v>
      </c>
      <c r="E423" s="3" t="n">
        <v>767</v>
      </c>
      <c r="F423" s="3" t="n">
        <v>9260</v>
      </c>
      <c r="G423" s="3" t="n">
        <v>15</v>
      </c>
      <c r="H423" s="3" t="n">
        <v>1099824</v>
      </c>
      <c r="I423" s="3" t="n">
        <v>2030</v>
      </c>
      <c r="J423" s="3" t="n">
        <v>445945</v>
      </c>
      <c r="K423" s="3" t="n">
        <v>89095</v>
      </c>
      <c r="L423" s="3" t="n">
        <v>1109</v>
      </c>
      <c r="M423" s="4" t="n">
        <f aca="false">IFERROR(D423/C423,0)</f>
        <v>0.0986646884272997</v>
      </c>
      <c r="N423" s="4" t="n">
        <f aca="false">IFERROR(E423/C423,0)</f>
        <v>0.284495548961424</v>
      </c>
      <c r="O423" s="5" t="n">
        <f aca="false">IFERROR(F423/MAX(C423-D423,1),0)</f>
        <v>3.81069958847737</v>
      </c>
      <c r="P423" s="5" t="n">
        <f aca="false">IFERROR(F423/C423,0)</f>
        <v>3.43471810089021</v>
      </c>
      <c r="Q423" s="5" t="n">
        <f aca="false">IFERROR(H423/C423,0)</f>
        <v>407.946587537092</v>
      </c>
      <c r="R423" s="4" t="n">
        <f aca="false">IFERROR(I423/F423,0)</f>
        <v>0.219222462203024</v>
      </c>
      <c r="S423" s="4" t="n">
        <f aca="false">IFERROR(K423/J423,0)</f>
        <v>0.199789211674085</v>
      </c>
      <c r="T423" s="6" t="s">
        <v>23</v>
      </c>
    </row>
    <row r="424" customFormat="false" ht="15" hidden="false" customHeight="false" outlineLevel="0" collapsed="false">
      <c r="A424" s="3" t="s">
        <v>457</v>
      </c>
      <c r="B424" s="3" t="s">
        <v>26</v>
      </c>
      <c r="C424" s="3" t="n">
        <v>2831</v>
      </c>
      <c r="D424" s="3" t="n">
        <v>249</v>
      </c>
      <c r="E424" s="3" t="n">
        <v>1106</v>
      </c>
      <c r="F424" s="3" t="n">
        <v>6731</v>
      </c>
      <c r="G424" s="3" t="n">
        <v>11</v>
      </c>
      <c r="H424" s="3" t="n">
        <v>1367445.9</v>
      </c>
      <c r="I424" s="3" t="n">
        <v>1651</v>
      </c>
      <c r="J424" s="3" t="n">
        <v>515640</v>
      </c>
      <c r="K424" s="3" t="n">
        <v>123891</v>
      </c>
      <c r="L424" s="3" t="n">
        <v>935</v>
      </c>
      <c r="M424" s="4" t="n">
        <f aca="false">IFERROR(D424/C424,0)</f>
        <v>0.0879547862945956</v>
      </c>
      <c r="N424" s="4" t="n">
        <f aca="false">IFERROR(E424/C424,0)</f>
        <v>0.390674673260332</v>
      </c>
      <c r="O424" s="5" t="n">
        <f aca="false">IFERROR(F424/MAX(C424-D424,1),0)</f>
        <v>2.60689388071263</v>
      </c>
      <c r="P424" s="5" t="n">
        <f aca="false">IFERROR(F424/C424,0)</f>
        <v>2.37760508654186</v>
      </c>
      <c r="Q424" s="5" t="n">
        <f aca="false">IFERROR(H424/C424,0)</f>
        <v>483.025750618156</v>
      </c>
      <c r="R424" s="4" t="n">
        <f aca="false">IFERROR(I424/F424,0)</f>
        <v>0.245283018867925</v>
      </c>
      <c r="S424" s="4" t="n">
        <f aca="false">IFERROR(K424/J424,0)</f>
        <v>0.240266464975564</v>
      </c>
      <c r="T424" s="6" t="s">
        <v>23</v>
      </c>
    </row>
    <row r="425" customFormat="false" ht="15" hidden="false" customHeight="false" outlineLevel="0" collapsed="false">
      <c r="A425" s="3" t="s">
        <v>458</v>
      </c>
      <c r="B425" s="3" t="s">
        <v>26</v>
      </c>
      <c r="C425" s="3" t="n">
        <v>1559</v>
      </c>
      <c r="D425" s="3" t="n">
        <v>261</v>
      </c>
      <c r="E425" s="3" t="n">
        <v>677</v>
      </c>
      <c r="F425" s="3" t="n">
        <v>4729</v>
      </c>
      <c r="G425" s="3" t="n">
        <v>15</v>
      </c>
      <c r="H425" s="3" t="n">
        <v>686306.6</v>
      </c>
      <c r="I425" s="3" t="n">
        <v>910</v>
      </c>
      <c r="J425" s="3" t="n">
        <v>272027</v>
      </c>
      <c r="K425" s="3" t="n">
        <v>55156</v>
      </c>
      <c r="L425" s="3" t="n">
        <v>360</v>
      </c>
      <c r="M425" s="4" t="n">
        <f aca="false">IFERROR(D425/C425,0)</f>
        <v>0.167415009621552</v>
      </c>
      <c r="N425" s="4" t="n">
        <f aca="false">IFERROR(E425/C425,0)</f>
        <v>0.434252726106479</v>
      </c>
      <c r="O425" s="5" t="n">
        <f aca="false">IFERROR(F425/MAX(C425-D425,1),0)</f>
        <v>3.64329738058552</v>
      </c>
      <c r="P425" s="5" t="n">
        <f aca="false">IFERROR(F425/C425,0)</f>
        <v>3.03335471456062</v>
      </c>
      <c r="Q425" s="5" t="n">
        <f aca="false">IFERROR(H425/C425,0)</f>
        <v>440.222322001283</v>
      </c>
      <c r="R425" s="4" t="n">
        <f aca="false">IFERROR(I425/F425,0)</f>
        <v>0.192429689152041</v>
      </c>
      <c r="S425" s="4" t="n">
        <f aca="false">IFERROR(K425/J425,0)</f>
        <v>0.202759284923923</v>
      </c>
      <c r="T425" s="6" t="s">
        <v>23</v>
      </c>
    </row>
    <row r="426" customFormat="false" ht="15" hidden="false" customHeight="false" outlineLevel="0" collapsed="false">
      <c r="A426" s="3" t="s">
        <v>459</v>
      </c>
      <c r="B426" s="3" t="s">
        <v>29</v>
      </c>
      <c r="C426" s="3" t="n">
        <v>2477</v>
      </c>
      <c r="D426" s="3" t="n">
        <v>434</v>
      </c>
      <c r="E426" s="3" t="n">
        <v>1186</v>
      </c>
      <c r="F426" s="3" t="n">
        <v>8607</v>
      </c>
      <c r="G426" s="3" t="n">
        <v>16</v>
      </c>
      <c r="H426" s="3" t="n">
        <v>960728</v>
      </c>
      <c r="I426" s="3" t="n">
        <v>1743</v>
      </c>
      <c r="J426" s="3" t="n">
        <v>278309</v>
      </c>
      <c r="K426" s="3" t="n">
        <v>51639</v>
      </c>
      <c r="L426" s="3" t="n">
        <v>0</v>
      </c>
      <c r="M426" s="4" t="n">
        <f aca="false">IFERROR(D426/C426,0)</f>
        <v>0.175211949939443</v>
      </c>
      <c r="N426" s="4" t="n">
        <f aca="false">IFERROR(E426/C426,0)</f>
        <v>0.478805006055713</v>
      </c>
      <c r="O426" s="5" t="n">
        <f aca="false">IFERROR(F426/MAX(C426-D426,1),0)</f>
        <v>4.2129221732746</v>
      </c>
      <c r="P426" s="5" t="n">
        <f aca="false">IFERROR(F426/C426,0)</f>
        <v>3.47476786435204</v>
      </c>
      <c r="Q426" s="5" t="n">
        <f aca="false">IFERROR(H426/C426,0)</f>
        <v>387.859507468712</v>
      </c>
      <c r="R426" s="4" t="n">
        <f aca="false">IFERROR(I426/F426,0)</f>
        <v>0.202509585221331</v>
      </c>
      <c r="S426" s="4" t="n">
        <f aca="false">IFERROR(K426/J426,0)</f>
        <v>0.185545562665958</v>
      </c>
      <c r="T426" s="6" t="s">
        <v>23</v>
      </c>
    </row>
    <row r="427" customFormat="false" ht="15" hidden="false" customHeight="false" outlineLevel="0" collapsed="false">
      <c r="A427" s="3" t="s">
        <v>460</v>
      </c>
      <c r="B427" s="3" t="s">
        <v>29</v>
      </c>
      <c r="C427" s="3" t="n">
        <v>1773</v>
      </c>
      <c r="D427" s="3" t="n">
        <v>56</v>
      </c>
      <c r="E427" s="3" t="n">
        <v>329</v>
      </c>
      <c r="F427" s="3" t="n">
        <v>1608</v>
      </c>
      <c r="G427" s="3" t="n">
        <v>3</v>
      </c>
      <c r="H427" s="3" t="n">
        <v>453181.9</v>
      </c>
      <c r="I427" s="3" t="n">
        <v>260</v>
      </c>
      <c r="J427" s="3" t="n">
        <v>233573</v>
      </c>
      <c r="K427" s="3" t="n">
        <v>51367</v>
      </c>
      <c r="L427" s="3" t="n">
        <v>0</v>
      </c>
      <c r="M427" s="4" t="n">
        <f aca="false">IFERROR(D427/C427,0)</f>
        <v>0.0315848843767626</v>
      </c>
      <c r="N427" s="4" t="n">
        <f aca="false">IFERROR(E427/C427,0)</f>
        <v>0.18556119571348</v>
      </c>
      <c r="O427" s="5" t="n">
        <f aca="false">IFERROR(F427/MAX(C427-D427,1),0)</f>
        <v>0.936517181129878</v>
      </c>
      <c r="P427" s="5" t="n">
        <f aca="false">IFERROR(F427/C427,0)</f>
        <v>0.906937394247039</v>
      </c>
      <c r="Q427" s="5" t="n">
        <f aca="false">IFERROR(H427/C427,0)</f>
        <v>255.601748448957</v>
      </c>
      <c r="R427" s="4" t="n">
        <f aca="false">IFERROR(I427/F427,0)</f>
        <v>0.161691542288557</v>
      </c>
      <c r="S427" s="4" t="n">
        <f aca="false">IFERROR(K427/J427,0)</f>
        <v>0.21991839810252</v>
      </c>
      <c r="T427" s="6" t="s">
        <v>23</v>
      </c>
    </row>
    <row r="428" customFormat="false" ht="15" hidden="false" customHeight="false" outlineLevel="0" collapsed="false">
      <c r="A428" s="3" t="s">
        <v>461</v>
      </c>
      <c r="B428" s="3" t="s">
        <v>29</v>
      </c>
      <c r="C428" s="3" t="n">
        <v>433</v>
      </c>
      <c r="D428" s="3" t="n">
        <v>71</v>
      </c>
      <c r="E428" s="3" t="n">
        <v>207</v>
      </c>
      <c r="F428" s="3" t="n">
        <v>1479</v>
      </c>
      <c r="G428" s="3" t="n">
        <v>13</v>
      </c>
      <c r="H428" s="3" t="n">
        <v>275814.9</v>
      </c>
      <c r="I428" s="3" t="n">
        <v>264</v>
      </c>
      <c r="J428" s="3" t="n">
        <v>74533</v>
      </c>
      <c r="K428" s="3" t="n">
        <v>16012</v>
      </c>
      <c r="L428" s="3" t="n">
        <v>0</v>
      </c>
      <c r="M428" s="4" t="n">
        <f aca="false">IFERROR(D428/C428,0)</f>
        <v>0.163972286374134</v>
      </c>
      <c r="N428" s="4" t="n">
        <f aca="false">IFERROR(E428/C428,0)</f>
        <v>0.478060046189376</v>
      </c>
      <c r="O428" s="5" t="n">
        <f aca="false">IFERROR(F428/MAX(C428-D428,1),0)</f>
        <v>4.08563535911602</v>
      </c>
      <c r="P428" s="5" t="n">
        <f aca="false">IFERROR(F428/C428,0)</f>
        <v>3.41570438799076</v>
      </c>
      <c r="Q428" s="5" t="n">
        <f aca="false">IFERROR(H428/C428,0)</f>
        <v>636.985912240185</v>
      </c>
      <c r="R428" s="4" t="n">
        <f aca="false">IFERROR(I428/F428,0)</f>
        <v>0.178498985801217</v>
      </c>
      <c r="S428" s="4" t="n">
        <f aca="false">IFERROR(K428/J428,0)</f>
        <v>0.214831014449975</v>
      </c>
      <c r="T428" s="6" t="s">
        <v>23</v>
      </c>
    </row>
    <row r="429" customFormat="false" ht="15" hidden="false" customHeight="false" outlineLevel="0" collapsed="false">
      <c r="A429" s="9" t="s">
        <v>462</v>
      </c>
      <c r="B429" s="9" t="s">
        <v>26</v>
      </c>
      <c r="C429" s="9" t="n">
        <v>2188</v>
      </c>
      <c r="D429" s="9" t="n">
        <v>468</v>
      </c>
      <c r="E429" s="9" t="n">
        <v>992</v>
      </c>
      <c r="F429" s="9" t="n">
        <v>12494</v>
      </c>
      <c r="G429" s="9" t="n">
        <v>12</v>
      </c>
      <c r="H429" s="9" t="n">
        <v>2094466.9</v>
      </c>
      <c r="I429" s="9" t="n">
        <v>8127</v>
      </c>
      <c r="J429" s="9" t="n">
        <v>294630</v>
      </c>
      <c r="K429" s="9" t="n">
        <v>192294</v>
      </c>
      <c r="L429" s="9" t="n">
        <v>424</v>
      </c>
      <c r="M429" s="10" t="n">
        <f aca="false">IFERROR(D429/C429,0)</f>
        <v>0.213893967093236</v>
      </c>
      <c r="N429" s="10" t="n">
        <f aca="false">IFERROR(E429/C429,0)</f>
        <v>0.453382084095064</v>
      </c>
      <c r="O429" s="11" t="n">
        <f aca="false">IFERROR(F429/MAX(C429-D429,1),0)</f>
        <v>7.26395348837209</v>
      </c>
      <c r="P429" s="11" t="n">
        <f aca="false">IFERROR(F429/C429,0)</f>
        <v>5.71023765996344</v>
      </c>
      <c r="Q429" s="11" t="n">
        <f aca="false">IFERROR(H429/C429,0)</f>
        <v>957.251782449726</v>
      </c>
      <c r="R429" s="10" t="n">
        <f aca="false">IFERROR(I429/F429,0)</f>
        <v>0.650472226668801</v>
      </c>
      <c r="S429" s="10" t="n">
        <f aca="false">IFERROR(K429/J429,0)</f>
        <v>0.652662661643417</v>
      </c>
      <c r="T429" s="12" t="s">
        <v>30</v>
      </c>
    </row>
    <row r="430" customFormat="false" ht="15" hidden="false" customHeight="false" outlineLevel="0" collapsed="false">
      <c r="A430" s="3" t="s">
        <v>463</v>
      </c>
      <c r="B430" s="3" t="s">
        <v>29</v>
      </c>
      <c r="C430" s="3" t="n">
        <v>3389</v>
      </c>
      <c r="D430" s="3" t="n">
        <v>393</v>
      </c>
      <c r="E430" s="3" t="n">
        <v>1145</v>
      </c>
      <c r="F430" s="3" t="n">
        <v>9360</v>
      </c>
      <c r="G430" s="3" t="n">
        <v>13</v>
      </c>
      <c r="H430" s="3" t="n">
        <v>1534766.8</v>
      </c>
      <c r="I430" s="3" t="n">
        <v>2015</v>
      </c>
      <c r="J430" s="3" t="n">
        <v>376756</v>
      </c>
      <c r="K430" s="3" t="n">
        <v>98242</v>
      </c>
      <c r="L430" s="3" t="n">
        <v>0</v>
      </c>
      <c r="M430" s="4" t="n">
        <f aca="false">IFERROR(D430/C430,0)</f>
        <v>0.115963411035704</v>
      </c>
      <c r="N430" s="4" t="n">
        <f aca="false">IFERROR(E430/C430,0)</f>
        <v>0.337857775154913</v>
      </c>
      <c r="O430" s="5" t="n">
        <f aca="false">IFERROR(F430/MAX(C430-D430,1),0)</f>
        <v>3.1241655540721</v>
      </c>
      <c r="P430" s="5" t="n">
        <f aca="false">IFERROR(F430/C430,0)</f>
        <v>2.76187665978165</v>
      </c>
      <c r="Q430" s="5" t="n">
        <f aca="false">IFERROR(H430/C430,0)</f>
        <v>452.867158453821</v>
      </c>
      <c r="R430" s="4" t="n">
        <f aca="false">IFERROR(I430/F430,0)</f>
        <v>0.215277777777778</v>
      </c>
      <c r="S430" s="4" t="n">
        <f aca="false">IFERROR(K430/J430,0)</f>
        <v>0.260757625625073</v>
      </c>
      <c r="T430" s="6" t="s">
        <v>23</v>
      </c>
    </row>
    <row r="431" customFormat="false" ht="15" hidden="false" customHeight="false" outlineLevel="0" collapsed="false">
      <c r="A431" s="3" t="s">
        <v>464</v>
      </c>
      <c r="B431" s="3" t="s">
        <v>22</v>
      </c>
      <c r="C431" s="3" t="n">
        <v>3399</v>
      </c>
      <c r="D431" s="3" t="n">
        <v>406</v>
      </c>
      <c r="E431" s="3" t="n">
        <v>936</v>
      </c>
      <c r="F431" s="3" t="n">
        <v>7126</v>
      </c>
      <c r="G431" s="3" t="n">
        <v>9</v>
      </c>
      <c r="H431" s="3" t="n">
        <v>1086362.1</v>
      </c>
      <c r="I431" s="3" t="n">
        <v>1477</v>
      </c>
      <c r="J431" s="3" t="n">
        <v>627377</v>
      </c>
      <c r="K431" s="3" t="n">
        <v>144238</v>
      </c>
      <c r="L431" s="3" t="n">
        <v>978</v>
      </c>
      <c r="M431" s="4" t="n">
        <f aca="false">IFERROR(D431/C431,0)</f>
        <v>0.119446896145925</v>
      </c>
      <c r="N431" s="4" t="n">
        <f aca="false">IFERROR(E431/C431,0)</f>
        <v>0.275375110326567</v>
      </c>
      <c r="O431" s="5" t="n">
        <f aca="false">IFERROR(F431/MAX(C431-D431,1),0)</f>
        <v>2.38088874039425</v>
      </c>
      <c r="P431" s="5" t="n">
        <f aca="false">IFERROR(F431/C431,0)</f>
        <v>2.09649897028538</v>
      </c>
      <c r="Q431" s="5" t="n">
        <f aca="false">IFERROR(H431/C431,0)</f>
        <v>319.61226831421</v>
      </c>
      <c r="R431" s="4" t="n">
        <f aca="false">IFERROR(I431/F431,0)</f>
        <v>0.207269155206287</v>
      </c>
      <c r="S431" s="4" t="n">
        <f aca="false">IFERROR(K431/J431,0)</f>
        <v>0.229906419903822</v>
      </c>
      <c r="T431" s="6" t="s">
        <v>23</v>
      </c>
    </row>
    <row r="432" customFormat="false" ht="15" hidden="false" customHeight="false" outlineLevel="0" collapsed="false">
      <c r="A432" s="3" t="s">
        <v>465</v>
      </c>
      <c r="B432" s="3" t="s">
        <v>29</v>
      </c>
      <c r="C432" s="3" t="n">
        <v>2572</v>
      </c>
      <c r="D432" s="3" t="n">
        <v>181</v>
      </c>
      <c r="E432" s="3" t="n">
        <v>755</v>
      </c>
      <c r="F432" s="3" t="n">
        <v>5609</v>
      </c>
      <c r="G432" s="3" t="n">
        <v>6</v>
      </c>
      <c r="H432" s="3" t="n">
        <v>954291.2</v>
      </c>
      <c r="I432" s="3" t="n">
        <v>1139</v>
      </c>
      <c r="J432" s="3" t="n">
        <v>431616</v>
      </c>
      <c r="K432" s="3" t="n">
        <v>100470</v>
      </c>
      <c r="L432" s="3" t="n">
        <v>0</v>
      </c>
      <c r="M432" s="4" t="n">
        <f aca="false">IFERROR(D432/C432,0)</f>
        <v>0.0703732503888025</v>
      </c>
      <c r="N432" s="4" t="n">
        <f aca="false">IFERROR(E432/C432,0)</f>
        <v>0.293545878693624</v>
      </c>
      <c r="O432" s="5" t="n">
        <f aca="false">IFERROR(F432/MAX(C432-D432,1),0)</f>
        <v>2.34588038477624</v>
      </c>
      <c r="P432" s="5" t="n">
        <f aca="false">IFERROR(F432/C432,0)</f>
        <v>2.18079315707621</v>
      </c>
      <c r="Q432" s="5" t="n">
        <f aca="false">IFERROR(H432/C432,0)</f>
        <v>371.030793157076</v>
      </c>
      <c r="R432" s="4" t="n">
        <f aca="false">IFERROR(I432/F432,0)</f>
        <v>0.203066500267427</v>
      </c>
      <c r="S432" s="4" t="n">
        <f aca="false">IFERROR(K432/J432,0)</f>
        <v>0.232776356761566</v>
      </c>
      <c r="T432" s="6" t="s">
        <v>23</v>
      </c>
    </row>
    <row r="433" customFormat="false" ht="15" hidden="false" customHeight="false" outlineLevel="0" collapsed="false">
      <c r="A433" s="3" t="s">
        <v>466</v>
      </c>
      <c r="B433" s="3" t="s">
        <v>26</v>
      </c>
      <c r="C433" s="3" t="n">
        <v>430</v>
      </c>
      <c r="D433" s="3" t="n">
        <v>28</v>
      </c>
      <c r="E433" s="3" t="n">
        <v>118</v>
      </c>
      <c r="F433" s="3" t="n">
        <v>1088</v>
      </c>
      <c r="G433" s="3" t="n">
        <v>13</v>
      </c>
      <c r="H433" s="3" t="n">
        <v>147047.8</v>
      </c>
      <c r="I433" s="3" t="n">
        <v>137</v>
      </c>
      <c r="J433" s="3" t="n">
        <v>54166</v>
      </c>
      <c r="K433" s="3" t="n">
        <v>10805</v>
      </c>
      <c r="L433" s="3" t="n">
        <v>71</v>
      </c>
      <c r="M433" s="4" t="n">
        <f aca="false">IFERROR(D433/C433,0)</f>
        <v>0.0651162790697674</v>
      </c>
      <c r="N433" s="4" t="n">
        <f aca="false">IFERROR(E433/C433,0)</f>
        <v>0.274418604651163</v>
      </c>
      <c r="O433" s="5" t="n">
        <f aca="false">IFERROR(F433/MAX(C433-D433,1),0)</f>
        <v>2.70646766169154</v>
      </c>
      <c r="P433" s="5" t="n">
        <f aca="false">IFERROR(F433/C433,0)</f>
        <v>2.53023255813954</v>
      </c>
      <c r="Q433" s="5" t="n">
        <f aca="false">IFERROR(H433/C433,0)</f>
        <v>341.971627906977</v>
      </c>
      <c r="R433" s="4" t="n">
        <f aca="false">IFERROR(I433/F433,0)</f>
        <v>0.125919117647059</v>
      </c>
      <c r="S433" s="4" t="n">
        <f aca="false">IFERROR(K433/J433,0)</f>
        <v>0.199479378207732</v>
      </c>
      <c r="T433" s="6" t="s">
        <v>23</v>
      </c>
    </row>
    <row r="434" customFormat="false" ht="15" hidden="false" customHeight="false" outlineLevel="0" collapsed="false">
      <c r="A434" s="3" t="s">
        <v>467</v>
      </c>
      <c r="B434" s="3" t="s">
        <v>29</v>
      </c>
      <c r="C434" s="3" t="n">
        <v>1193</v>
      </c>
      <c r="D434" s="3" t="n">
        <v>139</v>
      </c>
      <c r="E434" s="3" t="n">
        <v>418</v>
      </c>
      <c r="F434" s="3" t="n">
        <v>4023</v>
      </c>
      <c r="G434" s="3" t="n">
        <v>12</v>
      </c>
      <c r="H434" s="3" t="n">
        <v>456201.1</v>
      </c>
      <c r="I434" s="3" t="n">
        <v>1183</v>
      </c>
      <c r="J434" s="3" t="n">
        <v>177562</v>
      </c>
      <c r="K434" s="3" t="n">
        <v>39996</v>
      </c>
      <c r="L434" s="3" t="n">
        <v>0</v>
      </c>
      <c r="M434" s="4" t="n">
        <f aca="false">IFERROR(D434/C434,0)</f>
        <v>0.116512992455993</v>
      </c>
      <c r="N434" s="4" t="n">
        <f aca="false">IFERROR(E434/C434,0)</f>
        <v>0.350377200335289</v>
      </c>
      <c r="O434" s="5" t="n">
        <f aca="false">IFERROR(F434/MAX(C434-D434,1),0)</f>
        <v>3.8168880455408</v>
      </c>
      <c r="P434" s="5" t="n">
        <f aca="false">IFERROR(F434/C434,0)</f>
        <v>3.37217099748533</v>
      </c>
      <c r="Q434" s="5" t="n">
        <f aca="false">IFERROR(H434/C434,0)</f>
        <v>382.398239731769</v>
      </c>
      <c r="R434" s="4" t="n">
        <f aca="false">IFERROR(I434/F434,0)</f>
        <v>0.294059159830972</v>
      </c>
      <c r="S434" s="4" t="n">
        <f aca="false">IFERROR(K434/J434,0)</f>
        <v>0.225250898277785</v>
      </c>
      <c r="T434" s="6" t="s">
        <v>23</v>
      </c>
    </row>
    <row r="435" customFormat="false" ht="15" hidden="false" customHeight="false" outlineLevel="0" collapsed="false">
      <c r="A435" s="3" t="s">
        <v>468</v>
      </c>
      <c r="B435" s="3" t="s">
        <v>29</v>
      </c>
      <c r="C435" s="3" t="n">
        <v>572</v>
      </c>
      <c r="D435" s="3" t="n">
        <v>54</v>
      </c>
      <c r="E435" s="3" t="n">
        <v>177</v>
      </c>
      <c r="F435" s="3" t="n">
        <v>1049</v>
      </c>
      <c r="G435" s="3" t="n">
        <v>7</v>
      </c>
      <c r="H435" s="3" t="n">
        <v>190622.9</v>
      </c>
      <c r="I435" s="3" t="n">
        <v>191</v>
      </c>
      <c r="J435" s="3" t="n">
        <v>48277</v>
      </c>
      <c r="K435" s="3" t="n">
        <v>8651</v>
      </c>
      <c r="L435" s="3" t="n">
        <v>0</v>
      </c>
      <c r="M435" s="4" t="n">
        <f aca="false">IFERROR(D435/C435,0)</f>
        <v>0.0944055944055944</v>
      </c>
      <c r="N435" s="4" t="n">
        <f aca="false">IFERROR(E435/C435,0)</f>
        <v>0.309440559440559</v>
      </c>
      <c r="O435" s="5" t="n">
        <f aca="false">IFERROR(F435/MAX(C435-D435,1),0)</f>
        <v>2.02509652509653</v>
      </c>
      <c r="P435" s="5" t="n">
        <f aca="false">IFERROR(F435/C435,0)</f>
        <v>1.83391608391608</v>
      </c>
      <c r="Q435" s="5" t="n">
        <f aca="false">IFERROR(H435/C435,0)</f>
        <v>333.256818181818</v>
      </c>
      <c r="R435" s="4" t="n">
        <f aca="false">IFERROR(I435/F435,0)</f>
        <v>0.182078169685415</v>
      </c>
      <c r="S435" s="4" t="n">
        <f aca="false">IFERROR(K435/J435,0)</f>
        <v>0.179195061830685</v>
      </c>
      <c r="T435" s="6" t="s">
        <v>23</v>
      </c>
    </row>
    <row r="436" customFormat="false" ht="15" hidden="false" customHeight="false" outlineLevel="0" collapsed="false">
      <c r="A436" s="3" t="s">
        <v>469</v>
      </c>
      <c r="B436" s="3" t="s">
        <v>29</v>
      </c>
      <c r="C436" s="3" t="n">
        <v>2625</v>
      </c>
      <c r="D436" s="3" t="n">
        <v>377</v>
      </c>
      <c r="E436" s="3" t="n">
        <v>1072</v>
      </c>
      <c r="F436" s="3" t="n">
        <v>7179</v>
      </c>
      <c r="G436" s="3" t="n">
        <v>10</v>
      </c>
      <c r="H436" s="3" t="n">
        <v>1540392.1</v>
      </c>
      <c r="I436" s="3" t="n">
        <v>1345</v>
      </c>
      <c r="J436" s="3" t="n">
        <v>432651</v>
      </c>
      <c r="K436" s="3" t="n">
        <v>70079</v>
      </c>
      <c r="L436" s="3" t="n">
        <v>0</v>
      </c>
      <c r="M436" s="4" t="n">
        <f aca="false">IFERROR(D436/C436,0)</f>
        <v>0.143619047619048</v>
      </c>
      <c r="N436" s="4" t="n">
        <f aca="false">IFERROR(E436/C436,0)</f>
        <v>0.408380952380952</v>
      </c>
      <c r="O436" s="5" t="n">
        <f aca="false">IFERROR(F436/MAX(C436-D436,1),0)</f>
        <v>3.19350533807829</v>
      </c>
      <c r="P436" s="5" t="n">
        <f aca="false">IFERROR(F436/C436,0)</f>
        <v>2.73485714285714</v>
      </c>
      <c r="Q436" s="5" t="n">
        <f aca="false">IFERROR(H436/C436,0)</f>
        <v>586.816038095238</v>
      </c>
      <c r="R436" s="4" t="n">
        <f aca="false">IFERROR(I436/F436,0)</f>
        <v>0.187351998885639</v>
      </c>
      <c r="S436" s="4" t="n">
        <f aca="false">IFERROR(K436/J436,0)</f>
        <v>0.161975818847062</v>
      </c>
      <c r="T436" s="6" t="s">
        <v>23</v>
      </c>
    </row>
    <row r="437" customFormat="false" ht="15" hidden="false" customHeight="false" outlineLevel="0" collapsed="false">
      <c r="A437" s="3" t="s">
        <v>470</v>
      </c>
      <c r="B437" s="3" t="s">
        <v>22</v>
      </c>
      <c r="C437" s="3" t="n">
        <v>3432</v>
      </c>
      <c r="D437" s="3" t="n">
        <v>119</v>
      </c>
      <c r="E437" s="3" t="n">
        <v>647</v>
      </c>
      <c r="F437" s="3" t="n">
        <v>7668</v>
      </c>
      <c r="G437" s="3" t="n">
        <v>11</v>
      </c>
      <c r="H437" s="3" t="n">
        <v>1010518.6</v>
      </c>
      <c r="I437" s="3" t="n">
        <v>1109</v>
      </c>
      <c r="J437" s="3" t="n">
        <v>412428</v>
      </c>
      <c r="K437" s="3" t="n">
        <v>78711</v>
      </c>
      <c r="L437" s="3" t="n">
        <v>1308</v>
      </c>
      <c r="M437" s="4" t="n">
        <f aca="false">IFERROR(D437/C437,0)</f>
        <v>0.0346736596736597</v>
      </c>
      <c r="N437" s="4" t="n">
        <f aca="false">IFERROR(E437/C437,0)</f>
        <v>0.188519813519814</v>
      </c>
      <c r="O437" s="5" t="n">
        <f aca="false">IFERROR(F437/MAX(C437-D437,1),0)</f>
        <v>2.31451856323574</v>
      </c>
      <c r="P437" s="5" t="n">
        <f aca="false">IFERROR(F437/C437,0)</f>
        <v>2.23426573426573</v>
      </c>
      <c r="Q437" s="5" t="n">
        <f aca="false">IFERROR(H437/C437,0)</f>
        <v>294.440151515152</v>
      </c>
      <c r="R437" s="4" t="n">
        <f aca="false">IFERROR(I437/F437,0)</f>
        <v>0.144627021387585</v>
      </c>
      <c r="S437" s="4" t="n">
        <f aca="false">IFERROR(K437/J437,0)</f>
        <v>0.190847857080509</v>
      </c>
      <c r="T437" s="6" t="s">
        <v>23</v>
      </c>
    </row>
    <row r="438" customFormat="false" ht="15" hidden="false" customHeight="false" outlineLevel="0" collapsed="false">
      <c r="A438" s="9" t="s">
        <v>471</v>
      </c>
      <c r="B438" s="9" t="s">
        <v>22</v>
      </c>
      <c r="C438" s="9" t="n">
        <v>1903</v>
      </c>
      <c r="D438" s="9" t="n">
        <v>460</v>
      </c>
      <c r="E438" s="9" t="n">
        <v>1079</v>
      </c>
      <c r="F438" s="9" t="n">
        <v>12164</v>
      </c>
      <c r="G438" s="9" t="n">
        <v>18</v>
      </c>
      <c r="H438" s="9" t="n">
        <v>1475599.8</v>
      </c>
      <c r="I438" s="9" t="n">
        <v>8267</v>
      </c>
      <c r="J438" s="9" t="n">
        <v>340811</v>
      </c>
      <c r="K438" s="9" t="n">
        <v>166935</v>
      </c>
      <c r="L438" s="9" t="n">
        <v>223</v>
      </c>
      <c r="M438" s="10" t="n">
        <f aca="false">IFERROR(D438/C438,0)</f>
        <v>0.24172359432475</v>
      </c>
      <c r="N438" s="10" t="n">
        <f aca="false">IFERROR(E438/C438,0)</f>
        <v>0.566999474513925</v>
      </c>
      <c r="O438" s="11" t="n">
        <f aca="false">IFERROR(F438/MAX(C438-D438,1),0)</f>
        <v>8.42966042966043</v>
      </c>
      <c r="P438" s="11" t="n">
        <f aca="false">IFERROR(F438/C438,0)</f>
        <v>6.39201261166579</v>
      </c>
      <c r="Q438" s="11" t="n">
        <f aca="false">IFERROR(H438/C438,0)</f>
        <v>775.407146610615</v>
      </c>
      <c r="R438" s="10" t="n">
        <f aca="false">IFERROR(I438/F438,0)</f>
        <v>0.679628411706675</v>
      </c>
      <c r="S438" s="10" t="n">
        <f aca="false">IFERROR(K438/J438,0)</f>
        <v>0.489816936659908</v>
      </c>
      <c r="T438" s="12" t="s">
        <v>30</v>
      </c>
    </row>
    <row r="439" customFormat="false" ht="15" hidden="false" customHeight="false" outlineLevel="0" collapsed="false">
      <c r="A439" s="9" t="s">
        <v>472</v>
      </c>
      <c r="B439" s="9" t="s">
        <v>29</v>
      </c>
      <c r="C439" s="9" t="n">
        <v>667</v>
      </c>
      <c r="D439" s="9" t="n">
        <v>233</v>
      </c>
      <c r="E439" s="9" t="n">
        <v>350</v>
      </c>
      <c r="F439" s="9" t="n">
        <v>5277</v>
      </c>
      <c r="G439" s="9" t="n">
        <v>23</v>
      </c>
      <c r="H439" s="9" t="n">
        <v>601003.7</v>
      </c>
      <c r="I439" s="9" t="n">
        <v>3756</v>
      </c>
      <c r="J439" s="9" t="n">
        <v>55402</v>
      </c>
      <c r="K439" s="9" t="n">
        <v>45254</v>
      </c>
      <c r="L439" s="9" t="n">
        <v>0</v>
      </c>
      <c r="M439" s="10" t="n">
        <f aca="false">IFERROR(D439/C439,0)</f>
        <v>0.349325337331334</v>
      </c>
      <c r="N439" s="10" t="n">
        <f aca="false">IFERROR(E439/C439,0)</f>
        <v>0.524737631184408</v>
      </c>
      <c r="O439" s="11" t="n">
        <f aca="false">IFERROR(F439/MAX(C439-D439,1),0)</f>
        <v>12.1589861751152</v>
      </c>
      <c r="P439" s="11" t="n">
        <f aca="false">IFERROR(F439/C439,0)</f>
        <v>7.91154422788606</v>
      </c>
      <c r="Q439" s="11" t="n">
        <f aca="false">IFERROR(H439/C439,0)</f>
        <v>901.055022488756</v>
      </c>
      <c r="R439" s="10" t="n">
        <f aca="false">IFERROR(I439/F439,0)</f>
        <v>0.711768050028425</v>
      </c>
      <c r="S439" s="10" t="n">
        <f aca="false">IFERROR(K439/J439,0)</f>
        <v>0.816829717338724</v>
      </c>
      <c r="T439" s="12" t="s">
        <v>30</v>
      </c>
    </row>
    <row r="440" customFormat="false" ht="15" hidden="false" customHeight="false" outlineLevel="0" collapsed="false">
      <c r="A440" s="9" t="s">
        <v>473</v>
      </c>
      <c r="B440" s="9" t="s">
        <v>26</v>
      </c>
      <c r="C440" s="9" t="n">
        <v>3356</v>
      </c>
      <c r="D440" s="9" t="n">
        <v>839</v>
      </c>
      <c r="E440" s="9" t="n">
        <v>1692</v>
      </c>
      <c r="F440" s="9" t="n">
        <v>26007</v>
      </c>
      <c r="G440" s="9" t="n">
        <v>30</v>
      </c>
      <c r="H440" s="9" t="n">
        <v>1961216.2</v>
      </c>
      <c r="I440" s="9" t="n">
        <v>14443</v>
      </c>
      <c r="J440" s="9" t="n">
        <v>250715</v>
      </c>
      <c r="K440" s="9" t="n">
        <v>128896</v>
      </c>
      <c r="L440" s="9" t="n">
        <v>660</v>
      </c>
      <c r="M440" s="10" t="n">
        <f aca="false">IFERROR(D440/C440,0)</f>
        <v>0.25</v>
      </c>
      <c r="N440" s="10" t="n">
        <f aca="false">IFERROR(E440/C440,0)</f>
        <v>0.504171632896305</v>
      </c>
      <c r="O440" s="11" t="n">
        <f aca="false">IFERROR(F440/MAX(C440-D440,1),0)</f>
        <v>10.3325387365912</v>
      </c>
      <c r="P440" s="11" t="n">
        <f aca="false">IFERROR(F440/C440,0)</f>
        <v>7.74940405244339</v>
      </c>
      <c r="Q440" s="11" t="n">
        <f aca="false">IFERROR(H440/C440,0)</f>
        <v>584.391001191895</v>
      </c>
      <c r="R440" s="10" t="n">
        <f aca="false">IFERROR(I440/F440,0)</f>
        <v>0.555350482562387</v>
      </c>
      <c r="S440" s="10" t="n">
        <f aca="false">IFERROR(K440/J440,0)</f>
        <v>0.514113635003889</v>
      </c>
      <c r="T440" s="12" t="s">
        <v>30</v>
      </c>
    </row>
    <row r="441" customFormat="false" ht="15" hidden="false" customHeight="false" outlineLevel="0" collapsed="false">
      <c r="A441" s="3" t="s">
        <v>474</v>
      </c>
      <c r="B441" s="3" t="s">
        <v>29</v>
      </c>
      <c r="C441" s="3" t="n">
        <v>2609</v>
      </c>
      <c r="D441" s="3" t="n">
        <v>369</v>
      </c>
      <c r="E441" s="3" t="n">
        <v>870</v>
      </c>
      <c r="F441" s="3" t="n">
        <v>11463</v>
      </c>
      <c r="G441" s="3" t="n">
        <v>20</v>
      </c>
      <c r="H441" s="3" t="n">
        <v>1320104.7</v>
      </c>
      <c r="I441" s="3" t="n">
        <v>2603</v>
      </c>
      <c r="J441" s="3" t="n">
        <v>471441</v>
      </c>
      <c r="K441" s="3" t="n">
        <v>132941</v>
      </c>
      <c r="L441" s="3" t="n">
        <v>0</v>
      </c>
      <c r="M441" s="4" t="n">
        <f aca="false">IFERROR(D441/C441,0)</f>
        <v>0.141433499425067</v>
      </c>
      <c r="N441" s="4" t="n">
        <f aca="false">IFERROR(E441/C441,0)</f>
        <v>0.333461096205443</v>
      </c>
      <c r="O441" s="5" t="n">
        <f aca="false">IFERROR(F441/MAX(C441-D441,1),0)</f>
        <v>5.11741071428572</v>
      </c>
      <c r="P441" s="5" t="n">
        <f aca="false">IFERROR(F441/C441,0)</f>
        <v>4.39363740896895</v>
      </c>
      <c r="Q441" s="5" t="n">
        <f aca="false">IFERROR(H441/C441,0)</f>
        <v>505.981103871215</v>
      </c>
      <c r="R441" s="4" t="n">
        <f aca="false">IFERROR(I441/F441,0)</f>
        <v>0.227078426240949</v>
      </c>
      <c r="S441" s="4" t="n">
        <f aca="false">IFERROR(K441/J441,0)</f>
        <v>0.281988626360457</v>
      </c>
      <c r="T441" s="6" t="s">
        <v>23</v>
      </c>
    </row>
    <row r="442" customFormat="false" ht="15" hidden="false" customHeight="false" outlineLevel="0" collapsed="false">
      <c r="A442" s="3" t="s">
        <v>475</v>
      </c>
      <c r="B442" s="3" t="s">
        <v>22</v>
      </c>
      <c r="C442" s="3" t="n">
        <v>2189</v>
      </c>
      <c r="D442" s="3" t="n">
        <v>248</v>
      </c>
      <c r="E442" s="3" t="n">
        <v>760</v>
      </c>
      <c r="F442" s="3" t="n">
        <v>7858</v>
      </c>
      <c r="G442" s="3" t="n">
        <v>13</v>
      </c>
      <c r="H442" s="3" t="n">
        <v>1220451.4</v>
      </c>
      <c r="I442" s="3" t="n">
        <v>1913</v>
      </c>
      <c r="J442" s="3" t="n">
        <v>365914</v>
      </c>
      <c r="K442" s="3" t="n">
        <v>50386</v>
      </c>
      <c r="L442" s="3" t="n">
        <v>1016</v>
      </c>
      <c r="M442" s="4" t="n">
        <f aca="false">IFERROR(D442/C442,0)</f>
        <v>0.113293741434445</v>
      </c>
      <c r="N442" s="4" t="n">
        <f aca="false">IFERROR(E442/C442,0)</f>
        <v>0.347190497944267</v>
      </c>
      <c r="O442" s="5" t="n">
        <f aca="false">IFERROR(F442/MAX(C442-D442,1),0)</f>
        <v>4.04842864502834</v>
      </c>
      <c r="P442" s="5" t="n">
        <f aca="false">IFERROR(F442/C442,0)</f>
        <v>3.5897670169027</v>
      </c>
      <c r="Q442" s="5" t="n">
        <f aca="false">IFERROR(H442/C442,0)</f>
        <v>557.538328003655</v>
      </c>
      <c r="R442" s="4" t="n">
        <f aca="false">IFERROR(I442/F442,0)</f>
        <v>0.243446169508781</v>
      </c>
      <c r="S442" s="4" t="n">
        <f aca="false">IFERROR(K442/J442,0)</f>
        <v>0.137699022174609</v>
      </c>
      <c r="T442" s="6" t="s">
        <v>23</v>
      </c>
    </row>
    <row r="443" customFormat="false" ht="15" hidden="false" customHeight="false" outlineLevel="0" collapsed="false">
      <c r="A443" s="3" t="s">
        <v>476</v>
      </c>
      <c r="B443" s="3" t="s">
        <v>22</v>
      </c>
      <c r="C443" s="3" t="n">
        <v>613</v>
      </c>
      <c r="D443" s="3" t="n">
        <v>77</v>
      </c>
      <c r="E443" s="3" t="n">
        <v>270</v>
      </c>
      <c r="F443" s="3" t="n">
        <v>1566</v>
      </c>
      <c r="G443" s="3" t="n">
        <v>10</v>
      </c>
      <c r="H443" s="3" t="n">
        <v>322428.6</v>
      </c>
      <c r="I443" s="3" t="n">
        <v>207</v>
      </c>
      <c r="J443" s="3" t="n">
        <v>102369</v>
      </c>
      <c r="K443" s="3" t="n">
        <v>13719</v>
      </c>
      <c r="L443" s="3" t="n">
        <v>262</v>
      </c>
      <c r="M443" s="4" t="n">
        <f aca="false">IFERROR(D443/C443,0)</f>
        <v>0.125611745513866</v>
      </c>
      <c r="N443" s="4" t="n">
        <f aca="false">IFERROR(E443/C443,0)</f>
        <v>0.440456769983687</v>
      </c>
      <c r="O443" s="5" t="n">
        <f aca="false">IFERROR(F443/MAX(C443-D443,1),0)</f>
        <v>2.92164179104478</v>
      </c>
      <c r="P443" s="5" t="n">
        <f aca="false">IFERROR(F443/C443,0)</f>
        <v>2.55464926590538</v>
      </c>
      <c r="Q443" s="5" t="n">
        <f aca="false">IFERROR(H443/C443,0)</f>
        <v>525.984665579119</v>
      </c>
      <c r="R443" s="4" t="n">
        <f aca="false">IFERROR(I443/F443,0)</f>
        <v>0.132183908045977</v>
      </c>
      <c r="S443" s="4" t="n">
        <f aca="false">IFERROR(K443/J443,0)</f>
        <v>0.134015180376872</v>
      </c>
      <c r="T443" s="6" t="s">
        <v>23</v>
      </c>
    </row>
    <row r="444" customFormat="false" ht="15" hidden="false" customHeight="false" outlineLevel="0" collapsed="false">
      <c r="A444" s="3" t="s">
        <v>477</v>
      </c>
      <c r="B444" s="3" t="s">
        <v>29</v>
      </c>
      <c r="C444" s="3" t="n">
        <v>1719</v>
      </c>
      <c r="D444" s="3" t="n">
        <v>107</v>
      </c>
      <c r="E444" s="3" t="n">
        <v>652</v>
      </c>
      <c r="F444" s="3" t="n">
        <v>3991</v>
      </c>
      <c r="G444" s="3" t="n">
        <v>11</v>
      </c>
      <c r="H444" s="3" t="n">
        <v>637996.1</v>
      </c>
      <c r="I444" s="3" t="n">
        <v>835</v>
      </c>
      <c r="J444" s="3" t="n">
        <v>234710</v>
      </c>
      <c r="K444" s="3" t="n">
        <v>45547</v>
      </c>
      <c r="L444" s="3" t="n">
        <v>0</v>
      </c>
      <c r="M444" s="4" t="n">
        <f aca="false">IFERROR(D444/C444,0)</f>
        <v>0.0622454915648633</v>
      </c>
      <c r="N444" s="4" t="n">
        <f aca="false">IFERROR(E444/C444,0)</f>
        <v>0.379290285049447</v>
      </c>
      <c r="O444" s="5" t="n">
        <f aca="false">IFERROR(F444/MAX(C444-D444,1),0)</f>
        <v>2.4758064516129</v>
      </c>
      <c r="P444" s="5" t="n">
        <f aca="false">IFERROR(F444/C444,0)</f>
        <v>2.3216986620128</v>
      </c>
      <c r="Q444" s="5" t="n">
        <f aca="false">IFERROR(H444/C444,0)</f>
        <v>371.143746364165</v>
      </c>
      <c r="R444" s="4" t="n">
        <f aca="false">IFERROR(I444/F444,0)</f>
        <v>0.20922074668003</v>
      </c>
      <c r="S444" s="4" t="n">
        <f aca="false">IFERROR(K444/J444,0)</f>
        <v>0.194056495249457</v>
      </c>
      <c r="T444" s="6" t="s">
        <v>23</v>
      </c>
    </row>
    <row r="445" customFormat="false" ht="15" hidden="false" customHeight="false" outlineLevel="0" collapsed="false">
      <c r="A445" s="3" t="s">
        <v>478</v>
      </c>
      <c r="B445" s="3" t="s">
        <v>29</v>
      </c>
      <c r="C445" s="3" t="n">
        <v>534</v>
      </c>
      <c r="D445" s="3" t="n">
        <v>38</v>
      </c>
      <c r="E445" s="3" t="n">
        <v>158</v>
      </c>
      <c r="F445" s="3" t="n">
        <v>1304</v>
      </c>
      <c r="G445" s="3" t="n">
        <v>10</v>
      </c>
      <c r="H445" s="3" t="n">
        <v>101172.3</v>
      </c>
      <c r="I445" s="3" t="n">
        <v>209</v>
      </c>
      <c r="J445" s="3" t="n">
        <v>52758</v>
      </c>
      <c r="K445" s="3" t="n">
        <v>9312</v>
      </c>
      <c r="L445" s="3" t="n">
        <v>0</v>
      </c>
      <c r="M445" s="4" t="n">
        <f aca="false">IFERROR(D445/C445,0)</f>
        <v>0.0711610486891386</v>
      </c>
      <c r="N445" s="4" t="n">
        <f aca="false">IFERROR(E445/C445,0)</f>
        <v>0.295880149812734</v>
      </c>
      <c r="O445" s="5" t="n">
        <f aca="false">IFERROR(F445/MAX(C445-D445,1),0)</f>
        <v>2.62903225806452</v>
      </c>
      <c r="P445" s="5" t="n">
        <f aca="false">IFERROR(F445/C445,0)</f>
        <v>2.44194756554307</v>
      </c>
      <c r="Q445" s="5" t="n">
        <f aca="false">IFERROR(H445/C445,0)</f>
        <v>189.461235955056</v>
      </c>
      <c r="R445" s="4" t="n">
        <f aca="false">IFERROR(I445/F445,0)</f>
        <v>0.160276073619632</v>
      </c>
      <c r="S445" s="4" t="n">
        <f aca="false">IFERROR(K445/J445,0)</f>
        <v>0.1765040373024</v>
      </c>
      <c r="T445" s="6" t="s">
        <v>23</v>
      </c>
    </row>
    <row r="446" customFormat="false" ht="15" hidden="false" customHeight="false" outlineLevel="0" collapsed="false">
      <c r="A446" s="3" t="s">
        <v>479</v>
      </c>
      <c r="B446" s="3" t="s">
        <v>26</v>
      </c>
      <c r="C446" s="3" t="n">
        <v>642</v>
      </c>
      <c r="D446" s="3" t="n">
        <v>29</v>
      </c>
      <c r="E446" s="3" t="n">
        <v>191</v>
      </c>
      <c r="F446" s="3" t="n">
        <v>876</v>
      </c>
      <c r="G446" s="3" t="n">
        <v>6</v>
      </c>
      <c r="H446" s="3" t="n">
        <v>119253.9</v>
      </c>
      <c r="I446" s="3" t="n">
        <v>158</v>
      </c>
      <c r="J446" s="3" t="n">
        <v>88579</v>
      </c>
      <c r="K446" s="3" t="n">
        <v>12115</v>
      </c>
      <c r="L446" s="3" t="n">
        <v>187</v>
      </c>
      <c r="M446" s="4" t="n">
        <f aca="false">IFERROR(D446/C446,0)</f>
        <v>0.0451713395638629</v>
      </c>
      <c r="N446" s="4" t="n">
        <f aca="false">IFERROR(E446/C446,0)</f>
        <v>0.297507788161994</v>
      </c>
      <c r="O446" s="5" t="n">
        <f aca="false">IFERROR(F446/MAX(C446-D446,1),0)</f>
        <v>1.42903752039152</v>
      </c>
      <c r="P446" s="5" t="n">
        <f aca="false">IFERROR(F446/C446,0)</f>
        <v>1.36448598130841</v>
      </c>
      <c r="Q446" s="5" t="n">
        <f aca="false">IFERROR(H446/C446,0)</f>
        <v>185.753738317757</v>
      </c>
      <c r="R446" s="4" t="n">
        <f aca="false">IFERROR(I446/F446,0)</f>
        <v>0.180365296803653</v>
      </c>
      <c r="S446" s="4" t="n">
        <f aca="false">IFERROR(K446/J446,0)</f>
        <v>0.136770566387067</v>
      </c>
      <c r="T446" s="6" t="s">
        <v>23</v>
      </c>
    </row>
    <row r="447" customFormat="false" ht="15" hidden="false" customHeight="false" outlineLevel="0" collapsed="false">
      <c r="A447" s="3" t="s">
        <v>480</v>
      </c>
      <c r="B447" s="3" t="s">
        <v>22</v>
      </c>
      <c r="C447" s="3" t="n">
        <v>154</v>
      </c>
      <c r="D447" s="3" t="n">
        <v>16</v>
      </c>
      <c r="E447" s="3" t="n">
        <v>61</v>
      </c>
      <c r="F447" s="3" t="n">
        <v>296</v>
      </c>
      <c r="G447" s="3" t="n">
        <v>9</v>
      </c>
      <c r="H447" s="3" t="n">
        <v>46794.3</v>
      </c>
      <c r="I447" s="3" t="n">
        <v>45</v>
      </c>
      <c r="J447" s="3" t="n">
        <v>20985</v>
      </c>
      <c r="K447" s="3" t="n">
        <v>2512</v>
      </c>
      <c r="L447" s="3" t="n">
        <v>19</v>
      </c>
      <c r="M447" s="4" t="n">
        <f aca="false">IFERROR(D447/C447,0)</f>
        <v>0.103896103896104</v>
      </c>
      <c r="N447" s="4" t="n">
        <f aca="false">IFERROR(E447/C447,0)</f>
        <v>0.396103896103896</v>
      </c>
      <c r="O447" s="5" t="n">
        <f aca="false">IFERROR(F447/MAX(C447-D447,1),0)</f>
        <v>2.14492753623188</v>
      </c>
      <c r="P447" s="5" t="n">
        <f aca="false">IFERROR(F447/C447,0)</f>
        <v>1.92207792207792</v>
      </c>
      <c r="Q447" s="5" t="n">
        <f aca="false">IFERROR(H447/C447,0)</f>
        <v>303.859090909091</v>
      </c>
      <c r="R447" s="4" t="n">
        <f aca="false">IFERROR(I447/F447,0)</f>
        <v>0.152027027027027</v>
      </c>
      <c r="S447" s="4" t="n">
        <f aca="false">IFERROR(K447/J447,0)</f>
        <v>0.119704550869669</v>
      </c>
      <c r="T447" s="6" t="s">
        <v>23</v>
      </c>
    </row>
    <row r="448" customFormat="false" ht="15" hidden="false" customHeight="false" outlineLevel="0" collapsed="false">
      <c r="A448" s="3" t="s">
        <v>481</v>
      </c>
      <c r="B448" s="3" t="s">
        <v>26</v>
      </c>
      <c r="C448" s="3" t="n">
        <v>2472</v>
      </c>
      <c r="D448" s="3" t="n">
        <v>343</v>
      </c>
      <c r="E448" s="3" t="n">
        <v>1042</v>
      </c>
      <c r="F448" s="3" t="n">
        <v>6753</v>
      </c>
      <c r="G448" s="3" t="n">
        <v>12</v>
      </c>
      <c r="H448" s="3" t="n">
        <v>1605053.9</v>
      </c>
      <c r="I448" s="3" t="n">
        <v>1497</v>
      </c>
      <c r="J448" s="3" t="n">
        <v>351051</v>
      </c>
      <c r="K448" s="3" t="n">
        <v>73168</v>
      </c>
      <c r="L448" s="3" t="n">
        <v>652</v>
      </c>
      <c r="M448" s="4" t="n">
        <f aca="false">IFERROR(D448/C448,0)</f>
        <v>0.138754045307443</v>
      </c>
      <c r="N448" s="4" t="n">
        <f aca="false">IFERROR(E448/C448,0)</f>
        <v>0.421521035598706</v>
      </c>
      <c r="O448" s="5" t="n">
        <f aca="false">IFERROR(F448/MAX(C448-D448,1),0)</f>
        <v>3.17191169563175</v>
      </c>
      <c r="P448" s="5" t="n">
        <f aca="false">IFERROR(F448/C448,0)</f>
        <v>2.73179611650485</v>
      </c>
      <c r="Q448" s="5" t="n">
        <f aca="false">IFERROR(H448/C448,0)</f>
        <v>649.293648867314</v>
      </c>
      <c r="R448" s="4" t="n">
        <f aca="false">IFERROR(I448/F448,0)</f>
        <v>0.221679253665038</v>
      </c>
      <c r="S448" s="4" t="n">
        <f aca="false">IFERROR(K448/J448,0)</f>
        <v>0.208425556400637</v>
      </c>
      <c r="T448" s="6" t="s">
        <v>23</v>
      </c>
    </row>
    <row r="449" customFormat="false" ht="15" hidden="false" customHeight="false" outlineLevel="0" collapsed="false">
      <c r="A449" s="3" t="s">
        <v>482</v>
      </c>
      <c r="B449" s="3" t="s">
        <v>26</v>
      </c>
      <c r="C449" s="3" t="n">
        <v>3829</v>
      </c>
      <c r="D449" s="3" t="n">
        <v>279</v>
      </c>
      <c r="E449" s="3" t="n">
        <v>1593</v>
      </c>
      <c r="F449" s="3" t="n">
        <v>9403</v>
      </c>
      <c r="G449" s="3" t="n">
        <v>11</v>
      </c>
      <c r="H449" s="3" t="n">
        <v>2225294.7</v>
      </c>
      <c r="I449" s="3" t="n">
        <v>1710</v>
      </c>
      <c r="J449" s="3" t="n">
        <v>661049</v>
      </c>
      <c r="K449" s="3" t="n">
        <v>138577</v>
      </c>
      <c r="L449" s="3" t="n">
        <v>1337</v>
      </c>
      <c r="M449" s="4" t="n">
        <f aca="false">IFERROR(D449/C449,0)</f>
        <v>0.0728649778009924</v>
      </c>
      <c r="N449" s="4" t="n">
        <f aca="false">IFERROR(E449/C449,0)</f>
        <v>0.416035518412118</v>
      </c>
      <c r="O449" s="5" t="n">
        <f aca="false">IFERROR(F449/MAX(C449-D449,1),0)</f>
        <v>2.6487323943662</v>
      </c>
      <c r="P449" s="5" t="n">
        <f aca="false">IFERROR(F449/C449,0)</f>
        <v>2.45573256724994</v>
      </c>
      <c r="Q449" s="5" t="n">
        <f aca="false">IFERROR(H449/C449,0)</f>
        <v>581.168634108122</v>
      </c>
      <c r="R449" s="4" t="n">
        <f aca="false">IFERROR(I449/F449,0)</f>
        <v>0.18185685419547</v>
      </c>
      <c r="S449" s="4" t="n">
        <f aca="false">IFERROR(K449/J449,0)</f>
        <v>0.209631963742476</v>
      </c>
      <c r="T449" s="6" t="s">
        <v>23</v>
      </c>
    </row>
    <row r="450" customFormat="false" ht="15" hidden="false" customHeight="false" outlineLevel="0" collapsed="false">
      <c r="A450" s="3" t="s">
        <v>483</v>
      </c>
      <c r="B450" s="3" t="s">
        <v>22</v>
      </c>
      <c r="C450" s="3" t="n">
        <v>1030</v>
      </c>
      <c r="D450" s="3" t="n">
        <v>137</v>
      </c>
      <c r="E450" s="3" t="n">
        <v>489</v>
      </c>
      <c r="F450" s="3" t="n">
        <v>2796</v>
      </c>
      <c r="G450" s="3" t="n">
        <v>10</v>
      </c>
      <c r="H450" s="3" t="n">
        <v>410251.6</v>
      </c>
      <c r="I450" s="3" t="n">
        <v>428</v>
      </c>
      <c r="J450" s="3" t="n">
        <v>192519</v>
      </c>
      <c r="K450" s="3" t="n">
        <v>33917</v>
      </c>
      <c r="L450" s="3" t="n">
        <v>135</v>
      </c>
      <c r="M450" s="4" t="n">
        <f aca="false">IFERROR(D450/C450,0)</f>
        <v>0.133009708737864</v>
      </c>
      <c r="N450" s="4" t="n">
        <f aca="false">IFERROR(E450/C450,0)</f>
        <v>0.474757281553398</v>
      </c>
      <c r="O450" s="5" t="n">
        <f aca="false">IFERROR(F450/MAX(C450-D450,1),0)</f>
        <v>3.13101903695409</v>
      </c>
      <c r="P450" s="5" t="n">
        <f aca="false">IFERROR(F450/C450,0)</f>
        <v>2.71456310679612</v>
      </c>
      <c r="Q450" s="5" t="n">
        <f aca="false">IFERROR(H450/C450,0)</f>
        <v>398.302524271845</v>
      </c>
      <c r="R450" s="4" t="n">
        <f aca="false">IFERROR(I450/F450,0)</f>
        <v>0.15307582260372</v>
      </c>
      <c r="S450" s="4" t="n">
        <f aca="false">IFERROR(K450/J450,0)</f>
        <v>0.176174819108763</v>
      </c>
      <c r="T450" s="6" t="s">
        <v>23</v>
      </c>
    </row>
    <row r="451" customFormat="false" ht="15" hidden="false" customHeight="false" outlineLevel="0" collapsed="false">
      <c r="A451" s="3" t="s">
        <v>484</v>
      </c>
      <c r="B451" s="3" t="s">
        <v>22</v>
      </c>
      <c r="C451" s="3" t="n">
        <v>410</v>
      </c>
      <c r="D451" s="3" t="n">
        <v>38</v>
      </c>
      <c r="E451" s="3" t="n">
        <v>102</v>
      </c>
      <c r="F451" s="3" t="n">
        <v>991</v>
      </c>
      <c r="G451" s="3" t="n">
        <v>9</v>
      </c>
      <c r="H451" s="3" t="n">
        <v>90471.3</v>
      </c>
      <c r="I451" s="3" t="n">
        <v>191</v>
      </c>
      <c r="J451" s="3" t="n">
        <v>72485</v>
      </c>
      <c r="K451" s="3" t="n">
        <v>14522</v>
      </c>
      <c r="L451" s="3" t="n">
        <v>69</v>
      </c>
      <c r="M451" s="4" t="n">
        <f aca="false">IFERROR(D451/C451,0)</f>
        <v>0.0926829268292683</v>
      </c>
      <c r="N451" s="4" t="n">
        <f aca="false">IFERROR(E451/C451,0)</f>
        <v>0.248780487804878</v>
      </c>
      <c r="O451" s="5" t="n">
        <f aca="false">IFERROR(F451/MAX(C451-D451,1),0)</f>
        <v>2.66397849462366</v>
      </c>
      <c r="P451" s="5" t="n">
        <f aca="false">IFERROR(F451/C451,0)</f>
        <v>2.41707317073171</v>
      </c>
      <c r="Q451" s="5" t="n">
        <f aca="false">IFERROR(H451/C451,0)</f>
        <v>220.661707317073</v>
      </c>
      <c r="R451" s="4" t="n">
        <f aca="false">IFERROR(I451/F451,0)</f>
        <v>0.192734611503532</v>
      </c>
      <c r="S451" s="4" t="n">
        <f aca="false">IFERROR(K451/J451,0)</f>
        <v>0.200344898944609</v>
      </c>
      <c r="T451" s="6" t="s">
        <v>23</v>
      </c>
    </row>
    <row r="452" customFormat="false" ht="15" hidden="false" customHeight="false" outlineLevel="0" collapsed="false">
      <c r="A452" s="3" t="s">
        <v>485</v>
      </c>
      <c r="B452" s="3" t="s">
        <v>29</v>
      </c>
      <c r="C452" s="3" t="n">
        <v>1361</v>
      </c>
      <c r="D452" s="3" t="n">
        <v>59</v>
      </c>
      <c r="E452" s="3" t="n">
        <v>357</v>
      </c>
      <c r="F452" s="3" t="n">
        <v>2846</v>
      </c>
      <c r="G452" s="3" t="n">
        <v>9</v>
      </c>
      <c r="H452" s="3" t="n">
        <v>564589.5</v>
      </c>
      <c r="I452" s="3" t="n">
        <v>629</v>
      </c>
      <c r="J452" s="3" t="n">
        <v>113223</v>
      </c>
      <c r="K452" s="3" t="n">
        <v>24155</v>
      </c>
      <c r="L452" s="3" t="n">
        <v>0</v>
      </c>
      <c r="M452" s="4" t="n">
        <f aca="false">IFERROR(D452/C452,0)</f>
        <v>0.0433504775900074</v>
      </c>
      <c r="N452" s="4" t="n">
        <f aca="false">IFERROR(E452/C452,0)</f>
        <v>0.262307127112417</v>
      </c>
      <c r="O452" s="5" t="n">
        <f aca="false">IFERROR(F452/MAX(C452-D452,1),0)</f>
        <v>2.18586789554532</v>
      </c>
      <c r="P452" s="5" t="n">
        <f aca="false">IFERROR(F452/C452,0)</f>
        <v>2.09110947832476</v>
      </c>
      <c r="Q452" s="5" t="n">
        <f aca="false">IFERROR(H452/C452,0)</f>
        <v>414.834313005143</v>
      </c>
      <c r="R452" s="4" t="n">
        <f aca="false">IFERROR(I452/F452,0)</f>
        <v>0.221011946591708</v>
      </c>
      <c r="S452" s="4" t="n">
        <f aca="false">IFERROR(K452/J452,0)</f>
        <v>0.213340045750422</v>
      </c>
      <c r="T452" s="6" t="s">
        <v>23</v>
      </c>
    </row>
    <row r="453" customFormat="false" ht="15" hidden="false" customHeight="false" outlineLevel="0" collapsed="false">
      <c r="A453" s="9" t="s">
        <v>486</v>
      </c>
      <c r="B453" s="9" t="s">
        <v>29</v>
      </c>
      <c r="C453" s="9" t="n">
        <v>2758</v>
      </c>
      <c r="D453" s="9" t="n">
        <v>1085</v>
      </c>
      <c r="E453" s="9" t="n">
        <v>1721</v>
      </c>
      <c r="F453" s="9" t="n">
        <v>19906</v>
      </c>
      <c r="G453" s="9" t="n">
        <v>15</v>
      </c>
      <c r="H453" s="9" t="n">
        <v>3023825.6</v>
      </c>
      <c r="I453" s="9" t="n">
        <v>10947</v>
      </c>
      <c r="J453" s="9" t="n">
        <v>389222</v>
      </c>
      <c r="K453" s="9" t="n">
        <v>318583</v>
      </c>
      <c r="L453" s="9" t="n">
        <v>0</v>
      </c>
      <c r="M453" s="10" t="n">
        <f aca="false">IFERROR(D453/C453,0)</f>
        <v>0.393401015228426</v>
      </c>
      <c r="N453" s="10" t="n">
        <f aca="false">IFERROR(E453/C453,0)</f>
        <v>0.624002900652647</v>
      </c>
      <c r="O453" s="11" t="n">
        <f aca="false">IFERROR(F453/MAX(C453-D453,1),0)</f>
        <v>11.8983861326958</v>
      </c>
      <c r="P453" s="11" t="n">
        <f aca="false">IFERROR(F453/C453,0)</f>
        <v>7.21754894851342</v>
      </c>
      <c r="Q453" s="11" t="n">
        <f aca="false">IFERROR(H453/C453,0)</f>
        <v>1096.38346627991</v>
      </c>
      <c r="R453" s="10" t="n">
        <f aca="false">IFERROR(I453/F453,0)</f>
        <v>0.54993469305737</v>
      </c>
      <c r="S453" s="10" t="n">
        <f aca="false">IFERROR(K453/J453,0)</f>
        <v>0.818512314309058</v>
      </c>
      <c r="T453" s="12" t="s">
        <v>30</v>
      </c>
    </row>
    <row r="454" customFormat="false" ht="15" hidden="false" customHeight="false" outlineLevel="0" collapsed="false">
      <c r="A454" s="3" t="s">
        <v>487</v>
      </c>
      <c r="B454" s="3" t="s">
        <v>22</v>
      </c>
      <c r="C454" s="3" t="n">
        <v>896</v>
      </c>
      <c r="D454" s="3" t="n">
        <v>100</v>
      </c>
      <c r="E454" s="3" t="n">
        <v>352</v>
      </c>
      <c r="F454" s="3" t="n">
        <v>3526</v>
      </c>
      <c r="G454" s="3" t="n">
        <v>15</v>
      </c>
      <c r="H454" s="3" t="n">
        <v>458452.7</v>
      </c>
      <c r="I454" s="3" t="n">
        <v>642</v>
      </c>
      <c r="J454" s="3" t="n">
        <v>103877</v>
      </c>
      <c r="K454" s="3" t="n">
        <v>21658</v>
      </c>
      <c r="L454" s="3" t="n">
        <v>201</v>
      </c>
      <c r="M454" s="4" t="n">
        <f aca="false">IFERROR(D454/C454,0)</f>
        <v>0.111607142857143</v>
      </c>
      <c r="N454" s="4" t="n">
        <f aca="false">IFERROR(E454/C454,0)</f>
        <v>0.392857142857143</v>
      </c>
      <c r="O454" s="5" t="n">
        <f aca="false">IFERROR(F454/MAX(C454-D454,1),0)</f>
        <v>4.42964824120603</v>
      </c>
      <c r="P454" s="5" t="n">
        <f aca="false">IFERROR(F454/C454,0)</f>
        <v>3.93526785714286</v>
      </c>
      <c r="Q454" s="5" t="n">
        <f aca="false">IFERROR(H454/C454,0)</f>
        <v>511.665959821429</v>
      </c>
      <c r="R454" s="4" t="n">
        <f aca="false">IFERROR(I454/F454,0)</f>
        <v>0.18207600680658</v>
      </c>
      <c r="S454" s="4" t="n">
        <f aca="false">IFERROR(K454/J454,0)</f>
        <v>0.208496587309992</v>
      </c>
      <c r="T454" s="6" t="s">
        <v>23</v>
      </c>
    </row>
    <row r="455" customFormat="false" ht="15" hidden="false" customHeight="false" outlineLevel="0" collapsed="false">
      <c r="A455" s="9" t="s">
        <v>488</v>
      </c>
      <c r="B455" s="9" t="s">
        <v>22</v>
      </c>
      <c r="C455" s="9" t="n">
        <v>3439</v>
      </c>
      <c r="D455" s="9" t="n">
        <v>674</v>
      </c>
      <c r="E455" s="9" t="n">
        <v>1652</v>
      </c>
      <c r="F455" s="9" t="n">
        <v>35647</v>
      </c>
      <c r="G455" s="9" t="n">
        <v>32</v>
      </c>
      <c r="H455" s="9" t="n">
        <v>2912523.8</v>
      </c>
      <c r="I455" s="9" t="n">
        <v>24579</v>
      </c>
      <c r="J455" s="9" t="n">
        <v>402763</v>
      </c>
      <c r="K455" s="9" t="n">
        <v>276195</v>
      </c>
      <c r="L455" s="9" t="n">
        <v>1258</v>
      </c>
      <c r="M455" s="10" t="n">
        <f aca="false">IFERROR(D455/C455,0)</f>
        <v>0.195987205583018</v>
      </c>
      <c r="N455" s="10" t="n">
        <f aca="false">IFERROR(E455/C455,0)</f>
        <v>0.480372201221285</v>
      </c>
      <c r="O455" s="11" t="n">
        <f aca="false">IFERROR(F455/MAX(C455-D455,1),0)</f>
        <v>12.8922242314647</v>
      </c>
      <c r="P455" s="11" t="n">
        <f aca="false">IFERROR(F455/C455,0)</f>
        <v>10.3655132305903</v>
      </c>
      <c r="Q455" s="11" t="n">
        <f aca="false">IFERROR(H455/C455,0)</f>
        <v>846.910090142483</v>
      </c>
      <c r="R455" s="10" t="n">
        <f aca="false">IFERROR(I455/F455,0)</f>
        <v>0.689511038797094</v>
      </c>
      <c r="S455" s="10" t="n">
        <f aca="false">IFERROR(K455/J455,0)</f>
        <v>0.68575067719726</v>
      </c>
      <c r="T455" s="12" t="s">
        <v>30</v>
      </c>
    </row>
    <row r="456" customFormat="false" ht="15" hidden="false" customHeight="false" outlineLevel="0" collapsed="false">
      <c r="A456" s="3" t="s">
        <v>489</v>
      </c>
      <c r="B456" s="3" t="s">
        <v>29</v>
      </c>
      <c r="C456" s="3" t="n">
        <v>1283</v>
      </c>
      <c r="D456" s="3" t="n">
        <v>114</v>
      </c>
      <c r="E456" s="3" t="n">
        <v>530</v>
      </c>
      <c r="F456" s="3" t="n">
        <v>3873</v>
      </c>
      <c r="G456" s="3" t="n">
        <v>10</v>
      </c>
      <c r="H456" s="3" t="n">
        <v>451531.9</v>
      </c>
      <c r="I456" s="3" t="n">
        <v>981</v>
      </c>
      <c r="J456" s="3" t="n">
        <v>168069</v>
      </c>
      <c r="K456" s="3" t="n">
        <v>34843</v>
      </c>
      <c r="L456" s="3" t="n">
        <v>0</v>
      </c>
      <c r="M456" s="4" t="n">
        <f aca="false">IFERROR(D456/C456,0)</f>
        <v>0.0888542478565861</v>
      </c>
      <c r="N456" s="4" t="n">
        <f aca="false">IFERROR(E456/C456,0)</f>
        <v>0.413094310210444</v>
      </c>
      <c r="O456" s="5" t="n">
        <f aca="false">IFERROR(F456/MAX(C456-D456,1),0)</f>
        <v>3.3130881094953</v>
      </c>
      <c r="P456" s="5" t="n">
        <f aca="false">IFERROR(F456/C456,0)</f>
        <v>3.01870615744349</v>
      </c>
      <c r="Q456" s="5" t="n">
        <f aca="false">IFERROR(H456/C456,0)</f>
        <v>351.934450506625</v>
      </c>
      <c r="R456" s="4" t="n">
        <f aca="false">IFERROR(I456/F456,0)</f>
        <v>0.253292021688614</v>
      </c>
      <c r="S456" s="4" t="n">
        <f aca="false">IFERROR(K456/J456,0)</f>
        <v>0.207313662840857</v>
      </c>
      <c r="T456" s="6" t="s">
        <v>23</v>
      </c>
    </row>
    <row r="457" customFormat="false" ht="15" hidden="false" customHeight="false" outlineLevel="0" collapsed="false">
      <c r="A457" s="3" t="s">
        <v>490</v>
      </c>
      <c r="B457" s="3" t="s">
        <v>22</v>
      </c>
      <c r="C457" s="3" t="n">
        <v>413</v>
      </c>
      <c r="D457" s="3" t="n">
        <v>26</v>
      </c>
      <c r="E457" s="3" t="n">
        <v>169</v>
      </c>
      <c r="F457" s="3" t="n">
        <v>875</v>
      </c>
      <c r="G457" s="3" t="n">
        <v>11</v>
      </c>
      <c r="H457" s="3" t="n">
        <v>136602.6</v>
      </c>
      <c r="I457" s="3" t="n">
        <v>165</v>
      </c>
      <c r="J457" s="3" t="n">
        <v>55681</v>
      </c>
      <c r="K457" s="3" t="n">
        <v>9034</v>
      </c>
      <c r="L457" s="3" t="n">
        <v>147</v>
      </c>
      <c r="M457" s="4" t="n">
        <f aca="false">IFERROR(D457/C457,0)</f>
        <v>0.062953995157385</v>
      </c>
      <c r="N457" s="4" t="n">
        <f aca="false">IFERROR(E457/C457,0)</f>
        <v>0.409200968523002</v>
      </c>
      <c r="O457" s="5" t="n">
        <f aca="false">IFERROR(F457/MAX(C457-D457,1),0)</f>
        <v>2.2609819121447</v>
      </c>
      <c r="P457" s="5" t="n">
        <f aca="false">IFERROR(F457/C457,0)</f>
        <v>2.11864406779661</v>
      </c>
      <c r="Q457" s="5" t="n">
        <f aca="false">IFERROR(H457/C457,0)</f>
        <v>330.756900726392</v>
      </c>
      <c r="R457" s="4" t="n">
        <f aca="false">IFERROR(I457/F457,0)</f>
        <v>0.188571428571429</v>
      </c>
      <c r="S457" s="4" t="n">
        <f aca="false">IFERROR(K457/J457,0)</f>
        <v>0.162245649323827</v>
      </c>
      <c r="T457" s="6" t="s">
        <v>23</v>
      </c>
    </row>
    <row r="458" customFormat="false" ht="15" hidden="false" customHeight="false" outlineLevel="0" collapsed="false">
      <c r="A458" s="3" t="s">
        <v>491</v>
      </c>
      <c r="B458" s="3" t="s">
        <v>29</v>
      </c>
      <c r="C458" s="3" t="n">
        <v>3715</v>
      </c>
      <c r="D458" s="3" t="n">
        <v>390</v>
      </c>
      <c r="E458" s="3" t="n">
        <v>1033</v>
      </c>
      <c r="F458" s="3" t="n">
        <v>7487</v>
      </c>
      <c r="G458" s="3" t="n">
        <v>11</v>
      </c>
      <c r="H458" s="3" t="n">
        <v>1650433.9</v>
      </c>
      <c r="I458" s="3" t="n">
        <v>1226</v>
      </c>
      <c r="J458" s="3" t="n">
        <v>513696</v>
      </c>
      <c r="K458" s="3" t="n">
        <v>80066</v>
      </c>
      <c r="L458" s="3" t="n">
        <v>0</v>
      </c>
      <c r="M458" s="4" t="n">
        <f aca="false">IFERROR(D458/C458,0)</f>
        <v>0.104979811574697</v>
      </c>
      <c r="N458" s="4" t="n">
        <f aca="false">IFERROR(E458/C458,0)</f>
        <v>0.278061911170929</v>
      </c>
      <c r="O458" s="5" t="n">
        <f aca="false">IFERROR(F458/MAX(C458-D458,1),0)</f>
        <v>2.25172932330827</v>
      </c>
      <c r="P458" s="5" t="n">
        <f aca="false">IFERROR(F458/C458,0)</f>
        <v>2.01534320323015</v>
      </c>
      <c r="Q458" s="5" t="n">
        <f aca="false">IFERROR(H458/C458,0)</f>
        <v>444.262153432032</v>
      </c>
      <c r="R458" s="4" t="n">
        <f aca="false">IFERROR(I458/F458,0)</f>
        <v>0.163750500868172</v>
      </c>
      <c r="S458" s="4" t="n">
        <f aca="false">IFERROR(K458/J458,0)</f>
        <v>0.155862611349903</v>
      </c>
      <c r="T458" s="6" t="s">
        <v>23</v>
      </c>
    </row>
    <row r="459" customFormat="false" ht="15" hidden="false" customHeight="false" outlineLevel="0" collapsed="false">
      <c r="A459" s="3" t="s">
        <v>492</v>
      </c>
      <c r="B459" s="3" t="s">
        <v>26</v>
      </c>
      <c r="C459" s="3" t="n">
        <v>3851</v>
      </c>
      <c r="D459" s="3" t="n">
        <v>511</v>
      </c>
      <c r="E459" s="3" t="n">
        <v>1670</v>
      </c>
      <c r="F459" s="3" t="n">
        <v>12352</v>
      </c>
      <c r="G459" s="3" t="n">
        <v>14</v>
      </c>
      <c r="H459" s="3" t="n">
        <v>2366635.2</v>
      </c>
      <c r="I459" s="3" t="n">
        <v>2561</v>
      </c>
      <c r="J459" s="3" t="n">
        <v>491832</v>
      </c>
      <c r="K459" s="3" t="n">
        <v>118333</v>
      </c>
      <c r="L459" s="3" t="n">
        <v>2031</v>
      </c>
      <c r="M459" s="4" t="n">
        <f aca="false">IFERROR(D459/C459,0)</f>
        <v>0.132692807063101</v>
      </c>
      <c r="N459" s="4" t="n">
        <f aca="false">IFERROR(E459/C459,0)</f>
        <v>0.43365359646845</v>
      </c>
      <c r="O459" s="5" t="n">
        <f aca="false">IFERROR(F459/MAX(C459-D459,1),0)</f>
        <v>3.69820359281437</v>
      </c>
      <c r="P459" s="5" t="n">
        <f aca="false">IFERROR(F459/C459,0)</f>
        <v>3.20747857699299</v>
      </c>
      <c r="Q459" s="5" t="n">
        <f aca="false">IFERROR(H459/C459,0)</f>
        <v>614.550817969359</v>
      </c>
      <c r="R459" s="4" t="n">
        <f aca="false">IFERROR(I459/F459,0)</f>
        <v>0.207334844559585</v>
      </c>
      <c r="S459" s="4" t="n">
        <f aca="false">IFERROR(K459/J459,0)</f>
        <v>0.240596382504595</v>
      </c>
      <c r="T459" s="6" t="s">
        <v>23</v>
      </c>
    </row>
    <row r="460" customFormat="false" ht="15" hidden="false" customHeight="false" outlineLevel="0" collapsed="false">
      <c r="A460" s="9" t="s">
        <v>493</v>
      </c>
      <c r="B460" s="9" t="s">
        <v>26</v>
      </c>
      <c r="C460" s="9" t="n">
        <v>3708</v>
      </c>
      <c r="D460" s="9" t="n">
        <v>1266</v>
      </c>
      <c r="E460" s="9" t="n">
        <v>1875</v>
      </c>
      <c r="F460" s="9" t="n">
        <v>26802</v>
      </c>
      <c r="G460" s="9" t="n">
        <v>18</v>
      </c>
      <c r="H460" s="9" t="n">
        <v>3104862.7</v>
      </c>
      <c r="I460" s="9" t="n">
        <v>14286</v>
      </c>
      <c r="J460" s="9" t="n">
        <v>276426</v>
      </c>
      <c r="K460" s="9" t="n">
        <v>167570</v>
      </c>
      <c r="L460" s="9" t="n">
        <v>851</v>
      </c>
      <c r="M460" s="10" t="n">
        <f aca="false">IFERROR(D460/C460,0)</f>
        <v>0.341423948220065</v>
      </c>
      <c r="N460" s="10" t="n">
        <f aca="false">IFERROR(E460/C460,0)</f>
        <v>0.505663430420712</v>
      </c>
      <c r="O460" s="11" t="n">
        <f aca="false">IFERROR(F460/MAX(C460-D460,1),0)</f>
        <v>10.97542997543</v>
      </c>
      <c r="P460" s="11" t="n">
        <f aca="false">IFERROR(F460/C460,0)</f>
        <v>7.22815533980583</v>
      </c>
      <c r="Q460" s="11" t="n">
        <f aca="false">IFERROR(H460/C460,0)</f>
        <v>837.341612729234</v>
      </c>
      <c r="R460" s="10" t="n">
        <f aca="false">IFERROR(I460/F460,0)</f>
        <v>0.533019923886277</v>
      </c>
      <c r="S460" s="10" t="n">
        <f aca="false">IFERROR(K460/J460,0)</f>
        <v>0.606202021517513</v>
      </c>
      <c r="T460" s="12" t="s">
        <v>30</v>
      </c>
    </row>
    <row r="461" customFormat="false" ht="15" hidden="false" customHeight="false" outlineLevel="0" collapsed="false">
      <c r="A461" s="9" t="s">
        <v>494</v>
      </c>
      <c r="B461" s="9" t="s">
        <v>29</v>
      </c>
      <c r="C461" s="9" t="n">
        <v>1897</v>
      </c>
      <c r="D461" s="9" t="n">
        <v>175</v>
      </c>
      <c r="E461" s="9" t="n">
        <v>767</v>
      </c>
      <c r="F461" s="9" t="n">
        <v>14169</v>
      </c>
      <c r="G461" s="9" t="n">
        <v>24</v>
      </c>
      <c r="H461" s="9" t="n">
        <v>1460208.9</v>
      </c>
      <c r="I461" s="9" t="n">
        <v>9222</v>
      </c>
      <c r="J461" s="9" t="n">
        <v>337983</v>
      </c>
      <c r="K461" s="9" t="n">
        <v>234414</v>
      </c>
      <c r="L461" s="9" t="n">
        <v>0</v>
      </c>
      <c r="M461" s="10" t="n">
        <f aca="false">IFERROR(D461/C461,0)</f>
        <v>0.0922509225092251</v>
      </c>
      <c r="N461" s="10" t="n">
        <f aca="false">IFERROR(E461/C461,0)</f>
        <v>0.404322614654718</v>
      </c>
      <c r="O461" s="11" t="n">
        <f aca="false">IFERROR(F461/MAX(C461-D461,1),0)</f>
        <v>8.22822299651568</v>
      </c>
      <c r="P461" s="11" t="n">
        <f aca="false">IFERROR(F461/C461,0)</f>
        <v>7.46916183447549</v>
      </c>
      <c r="Q461" s="11" t="n">
        <f aca="false">IFERROR(H461/C461,0)</f>
        <v>769.746389035319</v>
      </c>
      <c r="R461" s="10" t="n">
        <f aca="false">IFERROR(I461/F461,0)</f>
        <v>0.65085750582257</v>
      </c>
      <c r="S461" s="10" t="n">
        <f aca="false">IFERROR(K461/J461,0)</f>
        <v>0.69356742794756</v>
      </c>
      <c r="T461" s="12" t="s">
        <v>30</v>
      </c>
    </row>
    <row r="462" customFormat="false" ht="15" hidden="false" customHeight="false" outlineLevel="0" collapsed="false">
      <c r="A462" s="3" t="s">
        <v>495</v>
      </c>
      <c r="B462" s="3" t="s">
        <v>29</v>
      </c>
      <c r="C462" s="3" t="n">
        <v>2868</v>
      </c>
      <c r="D462" s="3" t="n">
        <v>422</v>
      </c>
      <c r="E462" s="3" t="n">
        <v>988</v>
      </c>
      <c r="F462" s="3" t="n">
        <v>7791</v>
      </c>
      <c r="G462" s="3" t="n">
        <v>12</v>
      </c>
      <c r="H462" s="3" t="n">
        <v>1760872</v>
      </c>
      <c r="I462" s="3" t="n">
        <v>1609</v>
      </c>
      <c r="J462" s="3" t="n">
        <v>350319</v>
      </c>
      <c r="K462" s="3" t="n">
        <v>86989</v>
      </c>
      <c r="L462" s="3" t="n">
        <v>0</v>
      </c>
      <c r="M462" s="4" t="n">
        <f aca="false">IFERROR(D462/C462,0)</f>
        <v>0.147140864714086</v>
      </c>
      <c r="N462" s="4" t="n">
        <f aca="false">IFERROR(E462/C462,0)</f>
        <v>0.344490934449093</v>
      </c>
      <c r="O462" s="5" t="n">
        <f aca="false">IFERROR(F462/MAX(C462-D462,1),0)</f>
        <v>3.1852003270646</v>
      </c>
      <c r="P462" s="5" t="n">
        <f aca="false">IFERROR(F462/C462,0)</f>
        <v>2.71652719665272</v>
      </c>
      <c r="Q462" s="5" t="n">
        <f aca="false">IFERROR(H462/C462,0)</f>
        <v>613.972105997211</v>
      </c>
      <c r="R462" s="4" t="n">
        <f aca="false">IFERROR(I462/F462,0)</f>
        <v>0.206520343986651</v>
      </c>
      <c r="S462" s="4" t="n">
        <f aca="false">IFERROR(K462/J462,0)</f>
        <v>0.248313679817538</v>
      </c>
      <c r="T462" s="6" t="s">
        <v>23</v>
      </c>
    </row>
    <row r="463" customFormat="false" ht="15" hidden="false" customHeight="false" outlineLevel="0" collapsed="false">
      <c r="A463" s="3" t="s">
        <v>496</v>
      </c>
      <c r="B463" s="3" t="s">
        <v>26</v>
      </c>
      <c r="C463" s="3" t="n">
        <v>801</v>
      </c>
      <c r="D463" s="3" t="n">
        <v>99</v>
      </c>
      <c r="E463" s="3" t="n">
        <v>324</v>
      </c>
      <c r="F463" s="3" t="n">
        <v>2697</v>
      </c>
      <c r="G463" s="3" t="n">
        <v>8</v>
      </c>
      <c r="H463" s="3" t="n">
        <v>578683.4</v>
      </c>
      <c r="I463" s="3" t="n">
        <v>771</v>
      </c>
      <c r="J463" s="3" t="n">
        <v>62386</v>
      </c>
      <c r="K463" s="3" t="n">
        <v>6723</v>
      </c>
      <c r="L463" s="3" t="n">
        <v>175</v>
      </c>
      <c r="M463" s="4" t="n">
        <f aca="false">IFERROR(D463/C463,0)</f>
        <v>0.123595505617978</v>
      </c>
      <c r="N463" s="4" t="n">
        <f aca="false">IFERROR(E463/C463,0)</f>
        <v>0.404494382022472</v>
      </c>
      <c r="O463" s="5" t="n">
        <f aca="false">IFERROR(F463/MAX(C463-D463,1),0)</f>
        <v>3.84188034188034</v>
      </c>
      <c r="P463" s="5" t="n">
        <f aca="false">IFERROR(F463/C463,0)</f>
        <v>3.36704119850187</v>
      </c>
      <c r="Q463" s="5" t="n">
        <f aca="false">IFERROR(H463/C463,0)</f>
        <v>722.451186017478</v>
      </c>
      <c r="R463" s="4" t="n">
        <f aca="false">IFERROR(I463/F463,0)</f>
        <v>0.28587319243604</v>
      </c>
      <c r="S463" s="4" t="n">
        <f aca="false">IFERROR(K463/J463,0)</f>
        <v>0.107764562562113</v>
      </c>
      <c r="T463" s="6" t="s">
        <v>23</v>
      </c>
    </row>
    <row r="464" customFormat="false" ht="15" hidden="false" customHeight="false" outlineLevel="0" collapsed="false">
      <c r="A464" s="9" t="s">
        <v>497</v>
      </c>
      <c r="B464" s="9" t="s">
        <v>29</v>
      </c>
      <c r="C464" s="9" t="n">
        <v>1938</v>
      </c>
      <c r="D464" s="9" t="n">
        <v>538</v>
      </c>
      <c r="E464" s="9" t="n">
        <v>1164</v>
      </c>
      <c r="F464" s="9" t="n">
        <v>11861</v>
      </c>
      <c r="G464" s="9" t="n">
        <v>13</v>
      </c>
      <c r="H464" s="9" t="n">
        <v>1838741.2</v>
      </c>
      <c r="I464" s="9" t="n">
        <v>7257</v>
      </c>
      <c r="J464" s="9" t="n">
        <v>178455</v>
      </c>
      <c r="K464" s="9" t="n">
        <v>144730</v>
      </c>
      <c r="L464" s="9" t="n">
        <v>0</v>
      </c>
      <c r="M464" s="10" t="n">
        <f aca="false">IFERROR(D464/C464,0)</f>
        <v>0.277605779153767</v>
      </c>
      <c r="N464" s="10" t="n">
        <f aca="false">IFERROR(E464/C464,0)</f>
        <v>0.60061919504644</v>
      </c>
      <c r="O464" s="11" t="n">
        <f aca="false">IFERROR(F464/MAX(C464-D464,1),0)</f>
        <v>8.47214285714286</v>
      </c>
      <c r="P464" s="11" t="n">
        <f aca="false">IFERROR(F464/C464,0)</f>
        <v>6.12022703818369</v>
      </c>
      <c r="Q464" s="11" t="n">
        <f aca="false">IFERROR(H464/C464,0)</f>
        <v>948.782868937049</v>
      </c>
      <c r="R464" s="10" t="n">
        <f aca="false">IFERROR(I464/F464,0)</f>
        <v>0.611837113228227</v>
      </c>
      <c r="S464" s="10" t="n">
        <f aca="false">IFERROR(K464/J464,0)</f>
        <v>0.811016782942479</v>
      </c>
      <c r="T464" s="12" t="s">
        <v>30</v>
      </c>
    </row>
    <row r="465" customFormat="false" ht="15" hidden="false" customHeight="false" outlineLevel="0" collapsed="false">
      <c r="A465" s="9" t="s">
        <v>498</v>
      </c>
      <c r="B465" s="9" t="s">
        <v>26</v>
      </c>
      <c r="C465" s="9" t="n">
        <v>1839</v>
      </c>
      <c r="D465" s="9" t="n">
        <v>447</v>
      </c>
      <c r="E465" s="9" t="n">
        <v>724</v>
      </c>
      <c r="F465" s="9" t="n">
        <v>9868</v>
      </c>
      <c r="G465" s="9" t="n">
        <v>19</v>
      </c>
      <c r="H465" s="9" t="n">
        <v>1709111.4</v>
      </c>
      <c r="I465" s="9" t="n">
        <v>6997</v>
      </c>
      <c r="J465" s="9" t="n">
        <v>300058</v>
      </c>
      <c r="K465" s="9" t="n">
        <v>257809</v>
      </c>
      <c r="L465" s="9" t="n">
        <v>393</v>
      </c>
      <c r="M465" s="10" t="n">
        <f aca="false">IFERROR(D465/C465,0)</f>
        <v>0.243066884176183</v>
      </c>
      <c r="N465" s="10" t="n">
        <f aca="false">IFERROR(E465/C465,0)</f>
        <v>0.393692224034802</v>
      </c>
      <c r="O465" s="11" t="n">
        <f aca="false">IFERROR(F465/MAX(C465-D465,1),0)</f>
        <v>7.08908045977012</v>
      </c>
      <c r="P465" s="11" t="n">
        <f aca="false">IFERROR(F465/C465,0)</f>
        <v>5.36595976073953</v>
      </c>
      <c r="Q465" s="11" t="n">
        <f aca="false">IFERROR(H465/C465,0)</f>
        <v>929.369983686786</v>
      </c>
      <c r="R465" s="10" t="n">
        <f aca="false">IFERROR(I465/F465,0)</f>
        <v>0.709059586542359</v>
      </c>
      <c r="S465" s="10" t="n">
        <f aca="false">IFERROR(K465/J465,0)</f>
        <v>0.859197221870438</v>
      </c>
      <c r="T465" s="12" t="s">
        <v>30</v>
      </c>
    </row>
    <row r="466" customFormat="false" ht="15" hidden="false" customHeight="false" outlineLevel="0" collapsed="false">
      <c r="A466" s="9" t="s">
        <v>499</v>
      </c>
      <c r="B466" s="9" t="s">
        <v>26</v>
      </c>
      <c r="C466" s="9" t="n">
        <v>3485</v>
      </c>
      <c r="D466" s="9" t="n">
        <v>1032</v>
      </c>
      <c r="E466" s="9" t="n">
        <v>1747</v>
      </c>
      <c r="F466" s="9" t="n">
        <v>37567</v>
      </c>
      <c r="G466" s="9" t="n">
        <v>37</v>
      </c>
      <c r="H466" s="9" t="n">
        <v>2827570.4</v>
      </c>
      <c r="I466" s="9" t="n">
        <v>26777</v>
      </c>
      <c r="J466" s="9" t="n">
        <v>312747</v>
      </c>
      <c r="K466" s="9" t="n">
        <v>206380</v>
      </c>
      <c r="L466" s="9" t="n">
        <v>1464</v>
      </c>
      <c r="M466" s="10" t="n">
        <f aca="false">IFERROR(D466/C466,0)</f>
        <v>0.296126255380201</v>
      </c>
      <c r="N466" s="10" t="n">
        <f aca="false">IFERROR(E466/C466,0)</f>
        <v>0.5012912482066</v>
      </c>
      <c r="O466" s="11" t="n">
        <f aca="false">IFERROR(F466/MAX(C466-D466,1),0)</f>
        <v>15.3147166734611</v>
      </c>
      <c r="P466" s="11" t="n">
        <f aca="false">IFERROR(F466/C466,0)</f>
        <v>10.7796269727403</v>
      </c>
      <c r="Q466" s="11" t="n">
        <f aca="false">IFERROR(H466/C466,0)</f>
        <v>811.354490674319</v>
      </c>
      <c r="R466" s="10" t="n">
        <f aca="false">IFERROR(I466/F466,0)</f>
        <v>0.712779833364389</v>
      </c>
      <c r="S466" s="10" t="n">
        <f aca="false">IFERROR(K466/J466,0)</f>
        <v>0.659894419450866</v>
      </c>
      <c r="T466" s="12" t="s">
        <v>30</v>
      </c>
    </row>
    <row r="467" customFormat="false" ht="15" hidden="false" customHeight="false" outlineLevel="0" collapsed="false">
      <c r="A467" s="3" t="s">
        <v>500</v>
      </c>
      <c r="B467" s="3" t="s">
        <v>29</v>
      </c>
      <c r="C467" s="3" t="n">
        <v>678</v>
      </c>
      <c r="D467" s="3" t="n">
        <v>80</v>
      </c>
      <c r="E467" s="3" t="n">
        <v>201</v>
      </c>
      <c r="F467" s="3" t="n">
        <v>1988</v>
      </c>
      <c r="G467" s="3" t="n">
        <v>13</v>
      </c>
      <c r="H467" s="3" t="n">
        <v>354693.8</v>
      </c>
      <c r="I467" s="3" t="n">
        <v>448</v>
      </c>
      <c r="J467" s="3" t="n">
        <v>90767</v>
      </c>
      <c r="K467" s="3" t="n">
        <v>19599</v>
      </c>
      <c r="L467" s="3" t="n">
        <v>0</v>
      </c>
      <c r="M467" s="4" t="n">
        <f aca="false">IFERROR(D467/C467,0)</f>
        <v>0.117994100294985</v>
      </c>
      <c r="N467" s="4" t="n">
        <f aca="false">IFERROR(E467/C467,0)</f>
        <v>0.29646017699115</v>
      </c>
      <c r="O467" s="5" t="n">
        <f aca="false">IFERROR(F467/MAX(C467-D467,1),0)</f>
        <v>3.32441471571906</v>
      </c>
      <c r="P467" s="5" t="n">
        <f aca="false">IFERROR(F467/C467,0)</f>
        <v>2.93215339233038</v>
      </c>
      <c r="Q467" s="5" t="n">
        <f aca="false">IFERROR(H467/C467,0)</f>
        <v>523.147197640118</v>
      </c>
      <c r="R467" s="4" t="n">
        <f aca="false">IFERROR(I467/F467,0)</f>
        <v>0.225352112676056</v>
      </c>
      <c r="S467" s="4" t="n">
        <f aca="false">IFERROR(K467/J467,0)</f>
        <v>0.215926493108729</v>
      </c>
      <c r="T467" s="6" t="s">
        <v>23</v>
      </c>
    </row>
    <row r="468" customFormat="false" ht="15" hidden="false" customHeight="false" outlineLevel="0" collapsed="false">
      <c r="A468" s="3" t="s">
        <v>501</v>
      </c>
      <c r="B468" s="3" t="s">
        <v>26</v>
      </c>
      <c r="C468" s="3" t="n">
        <v>1217</v>
      </c>
      <c r="D468" s="3" t="n">
        <v>73</v>
      </c>
      <c r="E468" s="3" t="n">
        <v>466</v>
      </c>
      <c r="F468" s="3" t="n">
        <v>1931</v>
      </c>
      <c r="G468" s="3" t="n">
        <v>5</v>
      </c>
      <c r="H468" s="3" t="n">
        <v>281374.8</v>
      </c>
      <c r="I468" s="3" t="n">
        <v>375</v>
      </c>
      <c r="J468" s="3" t="n">
        <v>145720</v>
      </c>
      <c r="K468" s="3" t="n">
        <v>26797</v>
      </c>
      <c r="L468" s="3" t="n">
        <v>129</v>
      </c>
      <c r="M468" s="4" t="n">
        <f aca="false">IFERROR(D468/C468,0)</f>
        <v>0.0599835661462613</v>
      </c>
      <c r="N468" s="4" t="n">
        <f aca="false">IFERROR(E468/C468,0)</f>
        <v>0.38290879211175</v>
      </c>
      <c r="O468" s="5" t="n">
        <f aca="false">IFERROR(F468/MAX(C468-D468,1),0)</f>
        <v>1.68793706293706</v>
      </c>
      <c r="P468" s="5" t="n">
        <f aca="false">IFERROR(F468/C468,0)</f>
        <v>1.58668857847165</v>
      </c>
      <c r="Q468" s="5" t="n">
        <f aca="false">IFERROR(H468/C468,0)</f>
        <v>231.203615447823</v>
      </c>
      <c r="R468" s="4" t="n">
        <f aca="false">IFERROR(I468/F468,0)</f>
        <v>0.194199896426722</v>
      </c>
      <c r="S468" s="4" t="n">
        <f aca="false">IFERROR(K468/J468,0)</f>
        <v>0.183893768871809</v>
      </c>
      <c r="T468" s="6" t="s">
        <v>23</v>
      </c>
    </row>
    <row r="469" customFormat="false" ht="15" hidden="false" customHeight="false" outlineLevel="0" collapsed="false">
      <c r="A469" s="3" t="s">
        <v>502</v>
      </c>
      <c r="B469" s="3" t="s">
        <v>26</v>
      </c>
      <c r="C469" s="3" t="n">
        <v>518</v>
      </c>
      <c r="D469" s="3" t="n">
        <v>69</v>
      </c>
      <c r="E469" s="3" t="n">
        <v>250</v>
      </c>
      <c r="F469" s="3" t="n">
        <v>1462</v>
      </c>
      <c r="G469" s="3" t="n">
        <v>10</v>
      </c>
      <c r="H469" s="3" t="n">
        <v>176019.6</v>
      </c>
      <c r="I469" s="3" t="n">
        <v>337</v>
      </c>
      <c r="J469" s="3" t="n">
        <v>54123</v>
      </c>
      <c r="K469" s="3" t="n">
        <v>11740</v>
      </c>
      <c r="L469" s="3" t="n">
        <v>79</v>
      </c>
      <c r="M469" s="4" t="n">
        <f aca="false">IFERROR(D469/C469,0)</f>
        <v>0.133204633204633</v>
      </c>
      <c r="N469" s="4" t="n">
        <f aca="false">IFERROR(E469/C469,0)</f>
        <v>0.482625482625483</v>
      </c>
      <c r="O469" s="5" t="n">
        <f aca="false">IFERROR(F469/MAX(C469-D469,1),0)</f>
        <v>3.25612472160356</v>
      </c>
      <c r="P469" s="5" t="n">
        <f aca="false">IFERROR(F469/C469,0)</f>
        <v>2.82239382239382</v>
      </c>
      <c r="Q469" s="5" t="n">
        <f aca="false">IFERROR(H469/C469,0)</f>
        <v>339.806177606178</v>
      </c>
      <c r="R469" s="4" t="n">
        <f aca="false">IFERROR(I469/F469,0)</f>
        <v>0.230506155950752</v>
      </c>
      <c r="S469" s="4" t="n">
        <f aca="false">IFERROR(K469/J469,0)</f>
        <v>0.216913327051346</v>
      </c>
      <c r="T469" s="6" t="s">
        <v>23</v>
      </c>
    </row>
    <row r="470" customFormat="false" ht="15" hidden="false" customHeight="false" outlineLevel="0" collapsed="false">
      <c r="A470" s="3" t="s">
        <v>503</v>
      </c>
      <c r="B470" s="3" t="s">
        <v>22</v>
      </c>
      <c r="C470" s="3" t="n">
        <v>3659</v>
      </c>
      <c r="D470" s="3" t="n">
        <v>491</v>
      </c>
      <c r="E470" s="3" t="n">
        <v>1094</v>
      </c>
      <c r="F470" s="3" t="n">
        <v>14571</v>
      </c>
      <c r="G470" s="3" t="n">
        <v>17</v>
      </c>
      <c r="H470" s="3" t="n">
        <v>896986.9</v>
      </c>
      <c r="I470" s="3" t="n">
        <v>2686</v>
      </c>
      <c r="J470" s="3" t="n">
        <v>335719</v>
      </c>
      <c r="K470" s="3" t="n">
        <v>68815</v>
      </c>
      <c r="L470" s="3" t="n">
        <v>1244</v>
      </c>
      <c r="M470" s="4" t="n">
        <f aca="false">IFERROR(D470/C470,0)</f>
        <v>0.134189669308554</v>
      </c>
      <c r="N470" s="4" t="n">
        <f aca="false">IFERROR(E470/C470,0)</f>
        <v>0.298988794752665</v>
      </c>
      <c r="O470" s="5" t="n">
        <f aca="false">IFERROR(F470/MAX(C470-D470,1),0)</f>
        <v>4.59943181818182</v>
      </c>
      <c r="P470" s="5" t="n">
        <f aca="false">IFERROR(F470/C470,0)</f>
        <v>3.98223558349276</v>
      </c>
      <c r="Q470" s="5" t="n">
        <f aca="false">IFERROR(H470/C470,0)</f>
        <v>245.145367586772</v>
      </c>
      <c r="R470" s="4" t="n">
        <f aca="false">IFERROR(I470/F470,0)</f>
        <v>0.184338755061423</v>
      </c>
      <c r="S470" s="4" t="n">
        <f aca="false">IFERROR(K470/J470,0)</f>
        <v>0.204977972649746</v>
      </c>
      <c r="T470" s="6" t="s">
        <v>23</v>
      </c>
    </row>
    <row r="471" customFormat="false" ht="15" hidden="false" customHeight="false" outlineLevel="0" collapsed="false">
      <c r="A471" s="9" t="s">
        <v>504</v>
      </c>
      <c r="B471" s="9" t="s">
        <v>26</v>
      </c>
      <c r="C471" s="9" t="n">
        <v>3337</v>
      </c>
      <c r="D471" s="9" t="n">
        <v>613</v>
      </c>
      <c r="E471" s="9" t="n">
        <v>1263</v>
      </c>
      <c r="F471" s="9" t="n">
        <v>24426</v>
      </c>
      <c r="G471" s="9" t="n">
        <v>26</v>
      </c>
      <c r="H471" s="9" t="n">
        <v>2440202.6</v>
      </c>
      <c r="I471" s="9" t="n">
        <v>18326</v>
      </c>
      <c r="J471" s="9" t="n">
        <v>547274</v>
      </c>
      <c r="K471" s="9" t="n">
        <v>278499</v>
      </c>
      <c r="L471" s="9" t="n">
        <v>599</v>
      </c>
      <c r="M471" s="10" t="n">
        <f aca="false">IFERROR(D471/C471,0)</f>
        <v>0.183697932274498</v>
      </c>
      <c r="N471" s="10" t="n">
        <f aca="false">IFERROR(E471/C471,0)</f>
        <v>0.378483667965238</v>
      </c>
      <c r="O471" s="11" t="n">
        <f aca="false">IFERROR(F471/MAX(C471-D471,1),0)</f>
        <v>8.96696035242291</v>
      </c>
      <c r="P471" s="11" t="n">
        <f aca="false">IFERROR(F471/C471,0)</f>
        <v>7.31974827689542</v>
      </c>
      <c r="Q471" s="11" t="n">
        <f aca="false">IFERROR(H471/C471,0)</f>
        <v>731.256397962242</v>
      </c>
      <c r="R471" s="10" t="n">
        <f aca="false">IFERROR(I471/F471,0)</f>
        <v>0.750266109882912</v>
      </c>
      <c r="S471" s="10" t="n">
        <f aca="false">IFERROR(K471/J471,0)</f>
        <v>0.508884032495606</v>
      </c>
      <c r="T471" s="12" t="s">
        <v>30</v>
      </c>
    </row>
    <row r="472" customFormat="false" ht="15" hidden="false" customHeight="false" outlineLevel="0" collapsed="false">
      <c r="A472" s="3" t="s">
        <v>505</v>
      </c>
      <c r="B472" s="3" t="s">
        <v>22</v>
      </c>
      <c r="C472" s="3" t="n">
        <v>3008</v>
      </c>
      <c r="D472" s="3" t="n">
        <v>394</v>
      </c>
      <c r="E472" s="3" t="n">
        <v>1446</v>
      </c>
      <c r="F472" s="3" t="n">
        <v>9621</v>
      </c>
      <c r="G472" s="3" t="n">
        <v>14</v>
      </c>
      <c r="H472" s="3" t="n">
        <v>1190697.8</v>
      </c>
      <c r="I472" s="3" t="n">
        <v>2102</v>
      </c>
      <c r="J472" s="3" t="n">
        <v>545792</v>
      </c>
      <c r="K472" s="3" t="n">
        <v>83060</v>
      </c>
      <c r="L472" s="3" t="n">
        <v>1068</v>
      </c>
      <c r="M472" s="4" t="n">
        <f aca="false">IFERROR(D472/C472,0)</f>
        <v>0.130984042553192</v>
      </c>
      <c r="N472" s="4" t="n">
        <f aca="false">IFERROR(E472/C472,0)</f>
        <v>0.480718085106383</v>
      </c>
      <c r="O472" s="5" t="n">
        <f aca="false">IFERROR(F472/MAX(C472-D472,1),0)</f>
        <v>3.6805661820964</v>
      </c>
      <c r="P472" s="5" t="n">
        <f aca="false">IFERROR(F472/C472,0)</f>
        <v>3.19847074468085</v>
      </c>
      <c r="Q472" s="5" t="n">
        <f aca="false">IFERROR(H472/C472,0)</f>
        <v>395.843683510638</v>
      </c>
      <c r="R472" s="4" t="n">
        <f aca="false">IFERROR(I472/F472,0)</f>
        <v>0.218480407442054</v>
      </c>
      <c r="S472" s="4" t="n">
        <f aca="false">IFERROR(K472/J472,0)</f>
        <v>0.15218251641651</v>
      </c>
      <c r="T472" s="6" t="s">
        <v>23</v>
      </c>
    </row>
    <row r="473" customFormat="false" ht="15" hidden="false" customHeight="false" outlineLevel="0" collapsed="false">
      <c r="A473" s="3" t="s">
        <v>506</v>
      </c>
      <c r="B473" s="3" t="s">
        <v>22</v>
      </c>
      <c r="C473" s="3" t="n">
        <v>259</v>
      </c>
      <c r="D473" s="3" t="n">
        <v>46</v>
      </c>
      <c r="E473" s="3" t="n">
        <v>128</v>
      </c>
      <c r="F473" s="3" t="n">
        <v>901</v>
      </c>
      <c r="G473" s="3" t="n">
        <v>13</v>
      </c>
      <c r="H473" s="3" t="n">
        <v>145286.7</v>
      </c>
      <c r="I473" s="3" t="n">
        <v>189</v>
      </c>
      <c r="J473" s="3" t="n">
        <v>38679</v>
      </c>
      <c r="K473" s="3" t="n">
        <v>6428</v>
      </c>
      <c r="L473" s="3" t="n">
        <v>44</v>
      </c>
      <c r="M473" s="4" t="n">
        <f aca="false">IFERROR(D473/C473,0)</f>
        <v>0.177606177606178</v>
      </c>
      <c r="N473" s="4" t="n">
        <f aca="false">IFERROR(E473/C473,0)</f>
        <v>0.494208494208494</v>
      </c>
      <c r="O473" s="5" t="n">
        <f aca="false">IFERROR(F473/MAX(C473-D473,1),0)</f>
        <v>4.23004694835681</v>
      </c>
      <c r="P473" s="5" t="n">
        <f aca="false">IFERROR(F473/C473,0)</f>
        <v>3.47876447876448</v>
      </c>
      <c r="Q473" s="5" t="n">
        <f aca="false">IFERROR(H473/C473,0)</f>
        <v>560.95250965251</v>
      </c>
      <c r="R473" s="4" t="n">
        <f aca="false">IFERROR(I473/F473,0)</f>
        <v>0.20976692563818</v>
      </c>
      <c r="S473" s="4" t="n">
        <f aca="false">IFERROR(K473/J473,0)</f>
        <v>0.166188370950645</v>
      </c>
      <c r="T473" s="6" t="s">
        <v>23</v>
      </c>
    </row>
    <row r="474" customFormat="false" ht="15" hidden="false" customHeight="false" outlineLevel="0" collapsed="false">
      <c r="A474" s="3" t="s">
        <v>507</v>
      </c>
      <c r="B474" s="3" t="s">
        <v>22</v>
      </c>
      <c r="C474" s="3" t="n">
        <v>1169</v>
      </c>
      <c r="D474" s="3" t="n">
        <v>94</v>
      </c>
      <c r="E474" s="3" t="n">
        <v>294</v>
      </c>
      <c r="F474" s="3" t="n">
        <v>2470</v>
      </c>
      <c r="G474" s="3" t="n">
        <v>8</v>
      </c>
      <c r="H474" s="3" t="n">
        <v>557001.2</v>
      </c>
      <c r="I474" s="3" t="n">
        <v>341</v>
      </c>
      <c r="J474" s="3" t="n">
        <v>215275</v>
      </c>
      <c r="K474" s="3" t="n">
        <v>31304</v>
      </c>
      <c r="L474" s="3" t="n">
        <v>453</v>
      </c>
      <c r="M474" s="4" t="n">
        <f aca="false">IFERROR(D474/C474,0)</f>
        <v>0.0804106073567151</v>
      </c>
      <c r="N474" s="4" t="n">
        <f aca="false">IFERROR(E474/C474,0)</f>
        <v>0.251497005988024</v>
      </c>
      <c r="O474" s="5" t="n">
        <f aca="false">IFERROR(F474/MAX(C474-D474,1),0)</f>
        <v>2.29767441860465</v>
      </c>
      <c r="P474" s="5" t="n">
        <f aca="false">IFERROR(F474/C474,0)</f>
        <v>2.11291702309666</v>
      </c>
      <c r="Q474" s="5" t="n">
        <f aca="false">IFERROR(H474/C474,0)</f>
        <v>476.476646706587</v>
      </c>
      <c r="R474" s="4" t="n">
        <f aca="false">IFERROR(I474/F474,0)</f>
        <v>0.138056680161943</v>
      </c>
      <c r="S474" s="4" t="n">
        <f aca="false">IFERROR(K474/J474,0)</f>
        <v>0.145414005342004</v>
      </c>
      <c r="T474" s="6" t="s">
        <v>23</v>
      </c>
    </row>
    <row r="475" customFormat="false" ht="15" hidden="false" customHeight="false" outlineLevel="0" collapsed="false">
      <c r="A475" s="9" t="s">
        <v>508</v>
      </c>
      <c r="B475" s="9" t="s">
        <v>29</v>
      </c>
      <c r="C475" s="9" t="n">
        <v>667</v>
      </c>
      <c r="D475" s="9" t="n">
        <v>145</v>
      </c>
      <c r="E475" s="9" t="n">
        <v>270</v>
      </c>
      <c r="F475" s="9" t="n">
        <v>6513</v>
      </c>
      <c r="G475" s="9" t="n">
        <v>32</v>
      </c>
      <c r="H475" s="9" t="n">
        <v>568366.1</v>
      </c>
      <c r="I475" s="9" t="n">
        <v>4365</v>
      </c>
      <c r="J475" s="9" t="n">
        <v>89393</v>
      </c>
      <c r="K475" s="9" t="n">
        <v>52835</v>
      </c>
      <c r="L475" s="9" t="n">
        <v>0</v>
      </c>
      <c r="M475" s="10" t="n">
        <f aca="false">IFERROR(D475/C475,0)</f>
        <v>0.217391304347826</v>
      </c>
      <c r="N475" s="10" t="n">
        <f aca="false">IFERROR(E475/C475,0)</f>
        <v>0.4047976011994</v>
      </c>
      <c r="O475" s="11" t="n">
        <f aca="false">IFERROR(F475/MAX(C475-D475,1),0)</f>
        <v>12.4770114942529</v>
      </c>
      <c r="P475" s="11" t="n">
        <f aca="false">IFERROR(F475/C475,0)</f>
        <v>9.76461769115442</v>
      </c>
      <c r="Q475" s="11" t="n">
        <f aca="false">IFERROR(H475/C475,0)</f>
        <v>852.123088455772</v>
      </c>
      <c r="R475" s="10" t="n">
        <f aca="false">IFERROR(I475/F475,0)</f>
        <v>0.670198065407646</v>
      </c>
      <c r="S475" s="10" t="n">
        <f aca="false">IFERROR(K475/J475,0)</f>
        <v>0.591041804168112</v>
      </c>
      <c r="T475" s="12" t="s">
        <v>30</v>
      </c>
    </row>
    <row r="476" customFormat="false" ht="15" hidden="false" customHeight="false" outlineLevel="0" collapsed="false">
      <c r="A476" s="3" t="s">
        <v>509</v>
      </c>
      <c r="B476" s="3" t="s">
        <v>22</v>
      </c>
      <c r="C476" s="3" t="n">
        <v>3644</v>
      </c>
      <c r="D476" s="3" t="n">
        <v>577</v>
      </c>
      <c r="E476" s="3" t="n">
        <v>1436</v>
      </c>
      <c r="F476" s="3" t="n">
        <v>8217</v>
      </c>
      <c r="G476" s="3" t="n">
        <v>11</v>
      </c>
      <c r="H476" s="3" t="n">
        <v>1962415.1</v>
      </c>
      <c r="I476" s="3" t="n">
        <v>1932</v>
      </c>
      <c r="J476" s="3" t="n">
        <v>690641</v>
      </c>
      <c r="K476" s="3" t="n">
        <v>125242</v>
      </c>
      <c r="L476" s="3" t="n">
        <v>1192</v>
      </c>
      <c r="M476" s="4" t="n">
        <f aca="false">IFERROR(D476/C476,0)</f>
        <v>0.15834248079034</v>
      </c>
      <c r="N476" s="4" t="n">
        <f aca="false">IFERROR(E476/C476,0)</f>
        <v>0.394072447859495</v>
      </c>
      <c r="O476" s="5" t="n">
        <f aca="false">IFERROR(F476/MAX(C476-D476,1),0)</f>
        <v>2.67916530811868</v>
      </c>
      <c r="P476" s="5" t="n">
        <f aca="false">IFERROR(F476/C476,0)</f>
        <v>2.25493962678375</v>
      </c>
      <c r="Q476" s="5" t="n">
        <f aca="false">IFERROR(H476/C476,0)</f>
        <v>538.533232711306</v>
      </c>
      <c r="R476" s="4" t="n">
        <f aca="false">IFERROR(I476/F476,0)</f>
        <v>0.235122307411464</v>
      </c>
      <c r="S476" s="4" t="n">
        <f aca="false">IFERROR(K476/J476,0)</f>
        <v>0.181341681133903</v>
      </c>
      <c r="T476" s="6" t="s">
        <v>23</v>
      </c>
    </row>
    <row r="477" customFormat="false" ht="15" hidden="false" customHeight="false" outlineLevel="0" collapsed="false">
      <c r="A477" s="9" t="s">
        <v>510</v>
      </c>
      <c r="B477" s="9" t="s">
        <v>29</v>
      </c>
      <c r="C477" s="9" t="n">
        <v>2201</v>
      </c>
      <c r="D477" s="9" t="n">
        <v>561</v>
      </c>
      <c r="E477" s="9" t="n">
        <v>1205</v>
      </c>
      <c r="F477" s="9" t="n">
        <v>12244</v>
      </c>
      <c r="G477" s="9" t="n">
        <v>14</v>
      </c>
      <c r="H477" s="9" t="n">
        <v>1286500.1</v>
      </c>
      <c r="I477" s="9" t="n">
        <v>9485</v>
      </c>
      <c r="J477" s="9" t="n">
        <v>189466</v>
      </c>
      <c r="K477" s="9" t="n">
        <v>115572</v>
      </c>
      <c r="L477" s="9" t="n">
        <v>0</v>
      </c>
      <c r="M477" s="10" t="n">
        <f aca="false">IFERROR(D477/C477,0)</f>
        <v>0.254884143571104</v>
      </c>
      <c r="N477" s="10" t="n">
        <f aca="false">IFERROR(E477/C477,0)</f>
        <v>0.5474784189005</v>
      </c>
      <c r="O477" s="11" t="n">
        <f aca="false">IFERROR(F477/MAX(C477-D477,1),0)</f>
        <v>7.46585365853659</v>
      </c>
      <c r="P477" s="11" t="n">
        <f aca="false">IFERROR(F477/C477,0)</f>
        <v>5.56292594275329</v>
      </c>
      <c r="Q477" s="11" t="n">
        <f aca="false">IFERROR(H477/C477,0)</f>
        <v>584.507087687415</v>
      </c>
      <c r="R477" s="10" t="n">
        <f aca="false">IFERROR(I477/F477,0)</f>
        <v>0.774665142110422</v>
      </c>
      <c r="S477" s="10" t="n">
        <f aca="false">IFERROR(K477/J477,0)</f>
        <v>0.609988071738465</v>
      </c>
      <c r="T477" s="12" t="s">
        <v>30</v>
      </c>
    </row>
    <row r="478" customFormat="false" ht="15" hidden="false" customHeight="false" outlineLevel="0" collapsed="false">
      <c r="A478" s="9" t="s">
        <v>511</v>
      </c>
      <c r="B478" s="9" t="s">
        <v>22</v>
      </c>
      <c r="C478" s="9" t="n">
        <v>2978</v>
      </c>
      <c r="D478" s="9" t="n">
        <v>922</v>
      </c>
      <c r="E478" s="9" t="n">
        <v>1732</v>
      </c>
      <c r="F478" s="9" t="n">
        <v>26366</v>
      </c>
      <c r="G478" s="9" t="n">
        <v>21</v>
      </c>
      <c r="H478" s="9" t="n">
        <v>3050549.9</v>
      </c>
      <c r="I478" s="9" t="n">
        <v>15135</v>
      </c>
      <c r="J478" s="9" t="n">
        <v>335110</v>
      </c>
      <c r="K478" s="9" t="n">
        <v>288873</v>
      </c>
      <c r="L478" s="9" t="n">
        <v>858</v>
      </c>
      <c r="M478" s="10" t="n">
        <f aca="false">IFERROR(D478/C478,0)</f>
        <v>0.309603760913365</v>
      </c>
      <c r="N478" s="10" t="n">
        <f aca="false">IFERROR(E478/C478,0)</f>
        <v>0.581598388179987</v>
      </c>
      <c r="O478" s="11" t="n">
        <f aca="false">IFERROR(F478/MAX(C478-D478,1),0)</f>
        <v>12.8239299610895</v>
      </c>
      <c r="P478" s="11" t="n">
        <f aca="false">IFERROR(F478/C478,0)</f>
        <v>8.85359301544661</v>
      </c>
      <c r="Q478" s="11" t="n">
        <f aca="false">IFERROR(H478/C478,0)</f>
        <v>1024.36195433177</v>
      </c>
      <c r="R478" s="10" t="n">
        <f aca="false">IFERROR(I478/F478,0)</f>
        <v>0.574034741712812</v>
      </c>
      <c r="S478" s="10" t="n">
        <f aca="false">IFERROR(K478/J478,0)</f>
        <v>0.862024409895258</v>
      </c>
      <c r="T478" s="12" t="s">
        <v>30</v>
      </c>
    </row>
    <row r="479" customFormat="false" ht="15" hidden="false" customHeight="false" outlineLevel="0" collapsed="false">
      <c r="A479" s="3" t="s">
        <v>512</v>
      </c>
      <c r="B479" s="3" t="s">
        <v>22</v>
      </c>
      <c r="C479" s="3" t="n">
        <v>1159</v>
      </c>
      <c r="D479" s="3" t="n">
        <v>159</v>
      </c>
      <c r="E479" s="3" t="n">
        <v>499</v>
      </c>
      <c r="F479" s="3" t="n">
        <v>4216</v>
      </c>
      <c r="G479" s="3" t="n">
        <v>15</v>
      </c>
      <c r="H479" s="3" t="n">
        <v>690020.7</v>
      </c>
      <c r="I479" s="3" t="n">
        <v>857</v>
      </c>
      <c r="J479" s="3" t="n">
        <v>84681</v>
      </c>
      <c r="K479" s="3" t="n">
        <v>21865</v>
      </c>
      <c r="L479" s="3" t="n">
        <v>256</v>
      </c>
      <c r="M479" s="4" t="n">
        <f aca="false">IFERROR(D479/C479,0)</f>
        <v>0.13718723037101</v>
      </c>
      <c r="N479" s="4" t="n">
        <f aca="false">IFERROR(E479/C479,0)</f>
        <v>0.430543572044866</v>
      </c>
      <c r="O479" s="5" t="n">
        <f aca="false">IFERROR(F479/MAX(C479-D479,1),0)</f>
        <v>4.216</v>
      </c>
      <c r="P479" s="5" t="n">
        <f aca="false">IFERROR(F479/C479,0)</f>
        <v>3.63761863675582</v>
      </c>
      <c r="Q479" s="5" t="n">
        <f aca="false">IFERROR(H479/C479,0)</f>
        <v>595.358671268335</v>
      </c>
      <c r="R479" s="4" t="n">
        <f aca="false">IFERROR(I479/F479,0)</f>
        <v>0.203273244781784</v>
      </c>
      <c r="S479" s="4" t="n">
        <f aca="false">IFERROR(K479/J479,0)</f>
        <v>0.258204319741146</v>
      </c>
      <c r="T479" s="6" t="s">
        <v>23</v>
      </c>
    </row>
    <row r="480" customFormat="false" ht="15" hidden="false" customHeight="false" outlineLevel="0" collapsed="false">
      <c r="A480" s="3" t="s">
        <v>513</v>
      </c>
      <c r="B480" s="3" t="s">
        <v>26</v>
      </c>
      <c r="C480" s="3" t="n">
        <v>1248</v>
      </c>
      <c r="D480" s="3" t="n">
        <v>81</v>
      </c>
      <c r="E480" s="3" t="n">
        <v>297</v>
      </c>
      <c r="F480" s="3" t="n">
        <v>3489</v>
      </c>
      <c r="G480" s="3" t="n">
        <v>11</v>
      </c>
      <c r="H480" s="3" t="n">
        <v>468972.9</v>
      </c>
      <c r="I480" s="3" t="n">
        <v>784</v>
      </c>
      <c r="J480" s="3" t="n">
        <v>140316</v>
      </c>
      <c r="K480" s="3" t="n">
        <v>24947</v>
      </c>
      <c r="L480" s="3" t="n">
        <v>470</v>
      </c>
      <c r="M480" s="4" t="n">
        <f aca="false">IFERROR(D480/C480,0)</f>
        <v>0.0649038461538462</v>
      </c>
      <c r="N480" s="4" t="n">
        <f aca="false">IFERROR(E480/C480,0)</f>
        <v>0.237980769230769</v>
      </c>
      <c r="O480" s="5" t="n">
        <f aca="false">IFERROR(F480/MAX(C480-D480,1),0)</f>
        <v>2.98971722365039</v>
      </c>
      <c r="P480" s="5" t="n">
        <f aca="false">IFERROR(F480/C480,0)</f>
        <v>2.79567307692308</v>
      </c>
      <c r="Q480" s="5" t="n">
        <f aca="false">IFERROR(H480/C480,0)</f>
        <v>375.779567307692</v>
      </c>
      <c r="R480" s="4" t="n">
        <f aca="false">IFERROR(I480/F480,0)</f>
        <v>0.224706219547148</v>
      </c>
      <c r="S480" s="4" t="n">
        <f aca="false">IFERROR(K480/J480,0)</f>
        <v>0.177791556201716</v>
      </c>
      <c r="T480" s="6" t="s">
        <v>23</v>
      </c>
    </row>
    <row r="481" customFormat="false" ht="15" hidden="false" customHeight="false" outlineLevel="0" collapsed="false">
      <c r="A481" s="9" t="s">
        <v>514</v>
      </c>
      <c r="B481" s="9" t="s">
        <v>26</v>
      </c>
      <c r="C481" s="9" t="n">
        <v>2596</v>
      </c>
      <c r="D481" s="9" t="n">
        <v>741</v>
      </c>
      <c r="E481" s="9" t="n">
        <v>1483</v>
      </c>
      <c r="F481" s="9" t="n">
        <v>23510</v>
      </c>
      <c r="G481" s="9" t="n">
        <v>23</v>
      </c>
      <c r="H481" s="9" t="n">
        <v>2311686.7</v>
      </c>
      <c r="I481" s="9" t="n">
        <v>16037</v>
      </c>
      <c r="J481" s="9" t="n">
        <v>310895</v>
      </c>
      <c r="K481" s="9" t="n">
        <v>164996</v>
      </c>
      <c r="L481" s="9" t="n">
        <v>780</v>
      </c>
      <c r="M481" s="10" t="n">
        <f aca="false">IFERROR(D481/C481,0)</f>
        <v>0.285439137134052</v>
      </c>
      <c r="N481" s="10" t="n">
        <f aca="false">IFERROR(E481/C481,0)</f>
        <v>0.571263482280431</v>
      </c>
      <c r="O481" s="11" t="n">
        <f aca="false">IFERROR(F481/MAX(C481-D481,1),0)</f>
        <v>12.6738544474394</v>
      </c>
      <c r="P481" s="11" t="n">
        <f aca="false">IFERROR(F481/C481,0)</f>
        <v>9.05624036979969</v>
      </c>
      <c r="Q481" s="11" t="n">
        <f aca="false">IFERROR(H481/C481,0)</f>
        <v>890.480238828968</v>
      </c>
      <c r="R481" s="10" t="n">
        <f aca="false">IFERROR(I481/F481,0)</f>
        <v>0.682135261590812</v>
      </c>
      <c r="S481" s="10" t="n">
        <f aca="false">IFERROR(K481/J481,0)</f>
        <v>0.530712941668409</v>
      </c>
      <c r="T481" s="12" t="s">
        <v>30</v>
      </c>
    </row>
    <row r="482" customFormat="false" ht="15" hidden="false" customHeight="false" outlineLevel="0" collapsed="false">
      <c r="A482" s="3" t="s">
        <v>515</v>
      </c>
      <c r="B482" s="3" t="s">
        <v>29</v>
      </c>
      <c r="C482" s="3" t="n">
        <v>3429</v>
      </c>
      <c r="D482" s="3" t="n">
        <v>384</v>
      </c>
      <c r="E482" s="3" t="n">
        <v>1360</v>
      </c>
      <c r="F482" s="3" t="n">
        <v>7459</v>
      </c>
      <c r="G482" s="3" t="n">
        <v>9</v>
      </c>
      <c r="H482" s="3" t="n">
        <v>1610754.6</v>
      </c>
      <c r="I482" s="3" t="n">
        <v>1170</v>
      </c>
      <c r="J482" s="3" t="n">
        <v>618923</v>
      </c>
      <c r="K482" s="3" t="n">
        <v>130096</v>
      </c>
      <c r="L482" s="3" t="n">
        <v>0</v>
      </c>
      <c r="M482" s="4" t="n">
        <f aca="false">IFERROR(D482/C482,0)</f>
        <v>0.111986001749781</v>
      </c>
      <c r="N482" s="4" t="n">
        <f aca="false">IFERROR(E482/C482,0)</f>
        <v>0.396617089530475</v>
      </c>
      <c r="O482" s="5" t="n">
        <f aca="false">IFERROR(F482/MAX(C482-D482,1),0)</f>
        <v>2.4495894909688</v>
      </c>
      <c r="P482" s="5" t="n">
        <f aca="false">IFERROR(F482/C482,0)</f>
        <v>2.17526975794692</v>
      </c>
      <c r="Q482" s="5" t="n">
        <f aca="false">IFERROR(H482/C482,0)</f>
        <v>469.744706911636</v>
      </c>
      <c r="R482" s="4" t="n">
        <f aca="false">IFERROR(I482/F482,0)</f>
        <v>0.156857487598874</v>
      </c>
      <c r="S482" s="4" t="n">
        <f aca="false">IFERROR(K482/J482,0)</f>
        <v>0.210197391274844</v>
      </c>
      <c r="T482" s="6" t="s">
        <v>23</v>
      </c>
    </row>
    <row r="483" customFormat="false" ht="15" hidden="false" customHeight="false" outlineLevel="0" collapsed="false">
      <c r="A483" s="3" t="s">
        <v>516</v>
      </c>
      <c r="B483" s="3" t="s">
        <v>26</v>
      </c>
      <c r="C483" s="3" t="n">
        <v>1027</v>
      </c>
      <c r="D483" s="3" t="n">
        <v>119</v>
      </c>
      <c r="E483" s="3" t="n">
        <v>320</v>
      </c>
      <c r="F483" s="3" t="n">
        <v>3208</v>
      </c>
      <c r="G483" s="3" t="n">
        <v>11</v>
      </c>
      <c r="H483" s="3" t="n">
        <v>523547.2</v>
      </c>
      <c r="I483" s="3" t="n">
        <v>754</v>
      </c>
      <c r="J483" s="3" t="n">
        <v>96806</v>
      </c>
      <c r="K483" s="3" t="n">
        <v>20431</v>
      </c>
      <c r="L483" s="3" t="n">
        <v>461</v>
      </c>
      <c r="M483" s="4" t="n">
        <f aca="false">IFERROR(D483/C483,0)</f>
        <v>0.11587147030185</v>
      </c>
      <c r="N483" s="4" t="n">
        <f aca="false">IFERROR(E483/C483,0)</f>
        <v>0.311587147030185</v>
      </c>
      <c r="O483" s="5" t="n">
        <f aca="false">IFERROR(F483/MAX(C483-D483,1),0)</f>
        <v>3.53303964757709</v>
      </c>
      <c r="P483" s="5" t="n">
        <f aca="false">IFERROR(F483/C483,0)</f>
        <v>3.1236611489776</v>
      </c>
      <c r="Q483" s="5" t="n">
        <f aca="false">IFERROR(H483/C483,0)</f>
        <v>509.78305744888</v>
      </c>
      <c r="R483" s="4" t="n">
        <f aca="false">IFERROR(I483/F483,0)</f>
        <v>0.235037406483791</v>
      </c>
      <c r="S483" s="4" t="n">
        <f aca="false">IFERROR(K483/J483,0)</f>
        <v>0.211050967915212</v>
      </c>
      <c r="T483" s="6" t="s">
        <v>23</v>
      </c>
    </row>
    <row r="484" customFormat="false" ht="15" hidden="false" customHeight="false" outlineLevel="0" collapsed="false">
      <c r="A484" s="3" t="s">
        <v>517</v>
      </c>
      <c r="B484" s="3" t="s">
        <v>22</v>
      </c>
      <c r="C484" s="3" t="n">
        <v>789</v>
      </c>
      <c r="D484" s="3" t="n">
        <v>93</v>
      </c>
      <c r="E484" s="3" t="n">
        <v>244</v>
      </c>
      <c r="F484" s="3" t="n">
        <v>2222</v>
      </c>
      <c r="G484" s="3" t="n">
        <v>15</v>
      </c>
      <c r="H484" s="3" t="n">
        <v>393399.8</v>
      </c>
      <c r="I484" s="3" t="n">
        <v>541</v>
      </c>
      <c r="J484" s="3" t="n">
        <v>126829</v>
      </c>
      <c r="K484" s="3" t="n">
        <v>29356</v>
      </c>
      <c r="L484" s="3" t="n">
        <v>204</v>
      </c>
      <c r="M484" s="4" t="n">
        <f aca="false">IFERROR(D484/C484,0)</f>
        <v>0.11787072243346</v>
      </c>
      <c r="N484" s="4" t="n">
        <f aca="false">IFERROR(E484/C484,0)</f>
        <v>0.309252217997465</v>
      </c>
      <c r="O484" s="5" t="n">
        <f aca="false">IFERROR(F484/MAX(C484-D484,1),0)</f>
        <v>3.19252873563218</v>
      </c>
      <c r="P484" s="5" t="n">
        <f aca="false">IFERROR(F484/C484,0)</f>
        <v>2.81622306717364</v>
      </c>
      <c r="Q484" s="5" t="n">
        <f aca="false">IFERROR(H484/C484,0)</f>
        <v>498.605576679341</v>
      </c>
      <c r="R484" s="4" t="n">
        <f aca="false">IFERROR(I484/F484,0)</f>
        <v>0.243474347434743</v>
      </c>
      <c r="S484" s="4" t="n">
        <f aca="false">IFERROR(K484/J484,0)</f>
        <v>0.231461258860355</v>
      </c>
      <c r="T484" s="6" t="s">
        <v>23</v>
      </c>
    </row>
    <row r="485" customFormat="false" ht="15" hidden="false" customHeight="false" outlineLevel="0" collapsed="false">
      <c r="A485" s="3" t="s">
        <v>518</v>
      </c>
      <c r="B485" s="3" t="s">
        <v>26</v>
      </c>
      <c r="C485" s="3" t="n">
        <v>1201</v>
      </c>
      <c r="D485" s="3" t="n">
        <v>135</v>
      </c>
      <c r="E485" s="3" t="n">
        <v>356</v>
      </c>
      <c r="F485" s="3" t="n">
        <v>3911</v>
      </c>
      <c r="G485" s="3" t="n">
        <v>14</v>
      </c>
      <c r="H485" s="3" t="n">
        <v>817557.9</v>
      </c>
      <c r="I485" s="3" t="n">
        <v>626</v>
      </c>
      <c r="J485" s="3" t="n">
        <v>115840</v>
      </c>
      <c r="K485" s="3" t="n">
        <v>31560</v>
      </c>
      <c r="L485" s="3" t="n">
        <v>150</v>
      </c>
      <c r="M485" s="4" t="n">
        <f aca="false">IFERROR(D485/C485,0)</f>
        <v>0.11240632805995</v>
      </c>
      <c r="N485" s="4" t="n">
        <f aca="false">IFERROR(E485/C485,0)</f>
        <v>0.296419650291424</v>
      </c>
      <c r="O485" s="5" t="n">
        <f aca="false">IFERROR(F485/MAX(C485-D485,1),0)</f>
        <v>3.66885553470919</v>
      </c>
      <c r="P485" s="5" t="n">
        <f aca="false">IFERROR(F485/C485,0)</f>
        <v>3.25645295587011</v>
      </c>
      <c r="Q485" s="5" t="n">
        <f aca="false">IFERROR(H485/C485,0)</f>
        <v>680.730974188177</v>
      </c>
      <c r="R485" s="4" t="n">
        <f aca="false">IFERROR(I485/F485,0)</f>
        <v>0.160061365379698</v>
      </c>
      <c r="S485" s="4" t="n">
        <f aca="false">IFERROR(K485/J485,0)</f>
        <v>0.272444751381216</v>
      </c>
      <c r="T485" s="6" t="s">
        <v>23</v>
      </c>
    </row>
    <row r="486" customFormat="false" ht="15" hidden="false" customHeight="false" outlineLevel="0" collapsed="false">
      <c r="A486" s="3" t="s">
        <v>519</v>
      </c>
      <c r="B486" s="3" t="s">
        <v>22</v>
      </c>
      <c r="C486" s="3" t="n">
        <v>1623</v>
      </c>
      <c r="D486" s="3" t="n">
        <v>318</v>
      </c>
      <c r="E486" s="3" t="n">
        <v>612</v>
      </c>
      <c r="F486" s="3" t="n">
        <v>4530</v>
      </c>
      <c r="G486" s="3" t="n">
        <v>14</v>
      </c>
      <c r="H486" s="3" t="n">
        <v>1053845.5</v>
      </c>
      <c r="I486" s="3" t="n">
        <v>862</v>
      </c>
      <c r="J486" s="3" t="n">
        <v>163102</v>
      </c>
      <c r="K486" s="3" t="n">
        <v>33168</v>
      </c>
      <c r="L486" s="3" t="n">
        <v>928</v>
      </c>
      <c r="M486" s="4" t="n">
        <f aca="false">IFERROR(D486/C486,0)</f>
        <v>0.195933456561922</v>
      </c>
      <c r="N486" s="4" t="n">
        <f aca="false">IFERROR(E486/C486,0)</f>
        <v>0.377079482439926</v>
      </c>
      <c r="O486" s="5" t="n">
        <f aca="false">IFERROR(F486/MAX(C486-D486,1),0)</f>
        <v>3.47126436781609</v>
      </c>
      <c r="P486" s="5" t="n">
        <f aca="false">IFERROR(F486/C486,0)</f>
        <v>2.79112754158965</v>
      </c>
      <c r="Q486" s="5" t="n">
        <f aca="false">IFERROR(H486/C486,0)</f>
        <v>649.319470117067</v>
      </c>
      <c r="R486" s="4" t="n">
        <f aca="false">IFERROR(I486/F486,0)</f>
        <v>0.190286975717439</v>
      </c>
      <c r="S486" s="4" t="n">
        <f aca="false">IFERROR(K486/J486,0)</f>
        <v>0.2033574082476</v>
      </c>
      <c r="T486" s="6" t="s">
        <v>23</v>
      </c>
    </row>
    <row r="487" customFormat="false" ht="15" hidden="false" customHeight="false" outlineLevel="0" collapsed="false">
      <c r="A487" s="3" t="s">
        <v>520</v>
      </c>
      <c r="B487" s="3" t="s">
        <v>29</v>
      </c>
      <c r="C487" s="3" t="n">
        <v>646</v>
      </c>
      <c r="D487" s="3" t="n">
        <v>84</v>
      </c>
      <c r="E487" s="3" t="n">
        <v>248</v>
      </c>
      <c r="F487" s="3" t="n">
        <v>1738</v>
      </c>
      <c r="G487" s="3" t="n">
        <v>11</v>
      </c>
      <c r="H487" s="3" t="n">
        <v>279187</v>
      </c>
      <c r="I487" s="3" t="n">
        <v>441</v>
      </c>
      <c r="J487" s="3" t="n">
        <v>93907</v>
      </c>
      <c r="K487" s="3" t="n">
        <v>25074</v>
      </c>
      <c r="L487" s="3" t="n">
        <v>0</v>
      </c>
      <c r="M487" s="4" t="n">
        <f aca="false">IFERROR(D487/C487,0)</f>
        <v>0.130030959752322</v>
      </c>
      <c r="N487" s="4" t="n">
        <f aca="false">IFERROR(E487/C487,0)</f>
        <v>0.38390092879257</v>
      </c>
      <c r="O487" s="5" t="n">
        <f aca="false">IFERROR(F487/MAX(C487-D487,1),0)</f>
        <v>3.09252669039146</v>
      </c>
      <c r="P487" s="5" t="n">
        <f aca="false">IFERROR(F487/C487,0)</f>
        <v>2.69040247678019</v>
      </c>
      <c r="Q487" s="5" t="n">
        <f aca="false">IFERROR(H487/C487,0)</f>
        <v>432.178018575851</v>
      </c>
      <c r="R487" s="4" t="n">
        <f aca="false">IFERROR(I487/F487,0)</f>
        <v>0.253739930955121</v>
      </c>
      <c r="S487" s="4" t="n">
        <f aca="false">IFERROR(K487/J487,0)</f>
        <v>0.267008849180572</v>
      </c>
      <c r="T487" s="6" t="s">
        <v>23</v>
      </c>
    </row>
    <row r="488" customFormat="false" ht="15" hidden="false" customHeight="false" outlineLevel="0" collapsed="false">
      <c r="A488" s="3" t="s">
        <v>521</v>
      </c>
      <c r="B488" s="3" t="s">
        <v>26</v>
      </c>
      <c r="C488" s="3" t="n">
        <v>1914</v>
      </c>
      <c r="D488" s="3" t="n">
        <v>122</v>
      </c>
      <c r="E488" s="3" t="n">
        <v>510</v>
      </c>
      <c r="F488" s="3" t="n">
        <v>2585</v>
      </c>
      <c r="G488" s="3" t="n">
        <v>5</v>
      </c>
      <c r="H488" s="3" t="n">
        <v>533193.2</v>
      </c>
      <c r="I488" s="3" t="n">
        <v>475</v>
      </c>
      <c r="J488" s="3" t="n">
        <v>174196</v>
      </c>
      <c r="K488" s="3" t="n">
        <v>38562</v>
      </c>
      <c r="L488" s="3" t="n">
        <v>384</v>
      </c>
      <c r="M488" s="4" t="n">
        <f aca="false">IFERROR(D488/C488,0)</f>
        <v>0.0637408568443051</v>
      </c>
      <c r="N488" s="4" t="n">
        <f aca="false">IFERROR(E488/C488,0)</f>
        <v>0.266457680250784</v>
      </c>
      <c r="O488" s="5" t="n">
        <f aca="false">IFERROR(F488/MAX(C488-D488,1),0)</f>
        <v>1.44252232142857</v>
      </c>
      <c r="P488" s="5" t="n">
        <f aca="false">IFERROR(F488/C488,0)</f>
        <v>1.35057471264368</v>
      </c>
      <c r="Q488" s="5" t="n">
        <f aca="false">IFERROR(H488/C488,0)</f>
        <v>278.575339602926</v>
      </c>
      <c r="R488" s="4" t="n">
        <f aca="false">IFERROR(I488/F488,0)</f>
        <v>0.183752417794971</v>
      </c>
      <c r="S488" s="4" t="n">
        <f aca="false">IFERROR(K488/J488,0)</f>
        <v>0.221371328847964</v>
      </c>
      <c r="T488" s="6" t="s">
        <v>23</v>
      </c>
    </row>
    <row r="489" customFormat="false" ht="15" hidden="false" customHeight="false" outlineLevel="0" collapsed="false">
      <c r="A489" s="3" t="s">
        <v>522</v>
      </c>
      <c r="B489" s="3" t="s">
        <v>22</v>
      </c>
      <c r="C489" s="3" t="n">
        <v>420</v>
      </c>
      <c r="D489" s="3" t="n">
        <v>46</v>
      </c>
      <c r="E489" s="3" t="n">
        <v>185</v>
      </c>
      <c r="F489" s="3" t="n">
        <v>1259</v>
      </c>
      <c r="G489" s="3" t="n">
        <v>14</v>
      </c>
      <c r="H489" s="3" t="n">
        <v>221003.2</v>
      </c>
      <c r="I489" s="3" t="n">
        <v>214</v>
      </c>
      <c r="J489" s="3" t="n">
        <v>61478</v>
      </c>
      <c r="K489" s="3" t="n">
        <v>11674</v>
      </c>
      <c r="L489" s="3" t="n">
        <v>118</v>
      </c>
      <c r="M489" s="4" t="n">
        <f aca="false">IFERROR(D489/C489,0)</f>
        <v>0.10952380952381</v>
      </c>
      <c r="N489" s="4" t="n">
        <f aca="false">IFERROR(E489/C489,0)</f>
        <v>0.44047619047619</v>
      </c>
      <c r="O489" s="5" t="n">
        <f aca="false">IFERROR(F489/MAX(C489-D489,1),0)</f>
        <v>3.36631016042781</v>
      </c>
      <c r="P489" s="5" t="n">
        <f aca="false">IFERROR(F489/C489,0)</f>
        <v>2.99761904761905</v>
      </c>
      <c r="Q489" s="5" t="n">
        <f aca="false">IFERROR(H489/C489,0)</f>
        <v>526.198095238095</v>
      </c>
      <c r="R489" s="4" t="n">
        <f aca="false">IFERROR(I489/F489,0)</f>
        <v>0.169976171564734</v>
      </c>
      <c r="S489" s="4" t="n">
        <f aca="false">IFERROR(K489/J489,0)</f>
        <v>0.189889066007352</v>
      </c>
      <c r="T489" s="6" t="s">
        <v>23</v>
      </c>
    </row>
    <row r="490" customFormat="false" ht="15" hidden="false" customHeight="false" outlineLevel="0" collapsed="false">
      <c r="A490" s="9" t="s">
        <v>523</v>
      </c>
      <c r="B490" s="9" t="s">
        <v>26</v>
      </c>
      <c r="C490" s="9" t="n">
        <v>322</v>
      </c>
      <c r="D490" s="9" t="n">
        <v>113</v>
      </c>
      <c r="E490" s="9" t="n">
        <v>195</v>
      </c>
      <c r="F490" s="9" t="n">
        <v>3223</v>
      </c>
      <c r="G490" s="9" t="n">
        <v>26</v>
      </c>
      <c r="H490" s="9" t="n">
        <v>374815.4</v>
      </c>
      <c r="I490" s="9" t="n">
        <v>2444</v>
      </c>
      <c r="J490" s="9" t="n">
        <v>35150</v>
      </c>
      <c r="K490" s="9" t="n">
        <v>27086</v>
      </c>
      <c r="L490" s="9" t="n">
        <v>116</v>
      </c>
      <c r="M490" s="10" t="n">
        <f aca="false">IFERROR(D490/C490,0)</f>
        <v>0.350931677018634</v>
      </c>
      <c r="N490" s="10" t="n">
        <f aca="false">IFERROR(E490/C490,0)</f>
        <v>0.605590062111801</v>
      </c>
      <c r="O490" s="11" t="n">
        <f aca="false">IFERROR(F490/MAX(C490-D490,1),0)</f>
        <v>15.4210526315789</v>
      </c>
      <c r="P490" s="11" t="n">
        <f aca="false">IFERROR(F490/C490,0)</f>
        <v>10.0093167701863</v>
      </c>
      <c r="Q490" s="11" t="n">
        <f aca="false">IFERROR(H490/C490,0)</f>
        <v>1164.02298136646</v>
      </c>
      <c r="R490" s="10" t="n">
        <f aca="false">IFERROR(I490/F490,0)</f>
        <v>0.758299720757059</v>
      </c>
      <c r="S490" s="10" t="n">
        <f aca="false">IFERROR(K490/J490,0)</f>
        <v>0.770583214793741</v>
      </c>
      <c r="T490" s="12" t="s">
        <v>30</v>
      </c>
    </row>
    <row r="491" customFormat="false" ht="15" hidden="false" customHeight="false" outlineLevel="0" collapsed="false">
      <c r="A491" s="3" t="s">
        <v>524</v>
      </c>
      <c r="B491" s="3" t="s">
        <v>29</v>
      </c>
      <c r="C491" s="3" t="n">
        <v>3410</v>
      </c>
      <c r="D491" s="3" t="n">
        <v>348</v>
      </c>
      <c r="E491" s="3" t="n">
        <v>1367</v>
      </c>
      <c r="F491" s="3" t="n">
        <v>13159</v>
      </c>
      <c r="G491" s="3" t="n">
        <v>16</v>
      </c>
      <c r="H491" s="3" t="n">
        <v>2313296.2</v>
      </c>
      <c r="I491" s="3" t="n">
        <v>2326</v>
      </c>
      <c r="J491" s="3" t="n">
        <v>594665</v>
      </c>
      <c r="K491" s="3" t="n">
        <v>130641</v>
      </c>
      <c r="L491" s="3" t="n">
        <v>0</v>
      </c>
      <c r="M491" s="4" t="n">
        <f aca="false">IFERROR(D491/C491,0)</f>
        <v>0.102052785923754</v>
      </c>
      <c r="N491" s="4" t="n">
        <f aca="false">IFERROR(E491/C491,0)</f>
        <v>0.400879765395894</v>
      </c>
      <c r="O491" s="5" t="n">
        <f aca="false">IFERROR(F491/MAX(C491-D491,1),0)</f>
        <v>4.29751796211626</v>
      </c>
      <c r="P491" s="5" t="n">
        <f aca="false">IFERROR(F491/C491,0)</f>
        <v>3.85894428152493</v>
      </c>
      <c r="Q491" s="5" t="n">
        <f aca="false">IFERROR(H491/C491,0)</f>
        <v>678.385982404692</v>
      </c>
      <c r="R491" s="4" t="n">
        <f aca="false">IFERROR(I491/F491,0)</f>
        <v>0.176761152063227</v>
      </c>
      <c r="S491" s="4" t="n">
        <f aca="false">IFERROR(K491/J491,0)</f>
        <v>0.219688395987657</v>
      </c>
      <c r="T491" s="6" t="s">
        <v>23</v>
      </c>
    </row>
    <row r="492" customFormat="false" ht="15" hidden="false" customHeight="false" outlineLevel="0" collapsed="false">
      <c r="A492" s="3" t="s">
        <v>525</v>
      </c>
      <c r="B492" s="3" t="s">
        <v>22</v>
      </c>
      <c r="C492" s="3" t="n">
        <v>459</v>
      </c>
      <c r="D492" s="3" t="n">
        <v>55</v>
      </c>
      <c r="E492" s="3" t="n">
        <v>151</v>
      </c>
      <c r="F492" s="3" t="n">
        <v>1943</v>
      </c>
      <c r="G492" s="3" t="n">
        <v>17</v>
      </c>
      <c r="H492" s="3" t="n">
        <v>258777.9</v>
      </c>
      <c r="I492" s="3" t="n">
        <v>248</v>
      </c>
      <c r="J492" s="3" t="n">
        <v>34818</v>
      </c>
      <c r="K492" s="3" t="n">
        <v>4749</v>
      </c>
      <c r="L492" s="3" t="n">
        <v>88</v>
      </c>
      <c r="M492" s="4" t="n">
        <f aca="false">IFERROR(D492/C492,0)</f>
        <v>0.119825708061002</v>
      </c>
      <c r="N492" s="4" t="n">
        <f aca="false">IFERROR(E492/C492,0)</f>
        <v>0.328976034858388</v>
      </c>
      <c r="O492" s="5" t="n">
        <f aca="false">IFERROR(F492/MAX(C492-D492,1),0)</f>
        <v>4.80940594059406</v>
      </c>
      <c r="P492" s="5" t="n">
        <f aca="false">IFERROR(F492/C492,0)</f>
        <v>4.23311546840959</v>
      </c>
      <c r="Q492" s="5" t="n">
        <f aca="false">IFERROR(H492/C492,0)</f>
        <v>563.786274509804</v>
      </c>
      <c r="R492" s="4" t="n">
        <f aca="false">IFERROR(I492/F492,0)</f>
        <v>0.127637673700463</v>
      </c>
      <c r="S492" s="4" t="n">
        <f aca="false">IFERROR(K492/J492,0)</f>
        <v>0.136394968119938</v>
      </c>
      <c r="T492" s="6" t="s">
        <v>23</v>
      </c>
    </row>
    <row r="493" customFormat="false" ht="15" hidden="false" customHeight="false" outlineLevel="0" collapsed="false">
      <c r="A493" s="3" t="s">
        <v>526</v>
      </c>
      <c r="B493" s="3" t="s">
        <v>26</v>
      </c>
      <c r="C493" s="3" t="n">
        <v>2176</v>
      </c>
      <c r="D493" s="3" t="n">
        <v>429</v>
      </c>
      <c r="E493" s="3" t="n">
        <v>1093</v>
      </c>
      <c r="F493" s="3" t="n">
        <v>8094</v>
      </c>
      <c r="G493" s="3" t="n">
        <v>17</v>
      </c>
      <c r="H493" s="3" t="n">
        <v>776044.8</v>
      </c>
      <c r="I493" s="3" t="n">
        <v>1577</v>
      </c>
      <c r="J493" s="3" t="n">
        <v>298732</v>
      </c>
      <c r="K493" s="3" t="n">
        <v>80927</v>
      </c>
      <c r="L493" s="3" t="n">
        <v>647</v>
      </c>
      <c r="M493" s="4" t="n">
        <f aca="false">IFERROR(D493/C493,0)</f>
        <v>0.197150735294118</v>
      </c>
      <c r="N493" s="4" t="n">
        <f aca="false">IFERROR(E493/C493,0)</f>
        <v>0.502297794117647</v>
      </c>
      <c r="O493" s="5" t="n">
        <f aca="false">IFERROR(F493/MAX(C493-D493,1),0)</f>
        <v>4.63308528906697</v>
      </c>
      <c r="P493" s="5" t="n">
        <f aca="false">IFERROR(F493/C493,0)</f>
        <v>3.71966911764706</v>
      </c>
      <c r="Q493" s="5" t="n">
        <f aca="false">IFERROR(H493/C493,0)</f>
        <v>356.638235294118</v>
      </c>
      <c r="R493" s="4" t="n">
        <f aca="false">IFERROR(I493/F493,0)</f>
        <v>0.194835680751174</v>
      </c>
      <c r="S493" s="4" t="n">
        <f aca="false">IFERROR(K493/J493,0)</f>
        <v>0.27090167775799</v>
      </c>
      <c r="T493" s="6" t="s">
        <v>23</v>
      </c>
    </row>
    <row r="494" customFormat="false" ht="15" hidden="false" customHeight="false" outlineLevel="0" collapsed="false">
      <c r="A494" s="3" t="s">
        <v>527</v>
      </c>
      <c r="B494" s="3" t="s">
        <v>22</v>
      </c>
      <c r="C494" s="3" t="n">
        <v>3943</v>
      </c>
      <c r="D494" s="3" t="n">
        <v>285</v>
      </c>
      <c r="E494" s="3" t="n">
        <v>1142</v>
      </c>
      <c r="F494" s="3" t="n">
        <v>8322</v>
      </c>
      <c r="G494" s="3" t="n">
        <v>8</v>
      </c>
      <c r="H494" s="3" t="n">
        <v>1535773.3</v>
      </c>
      <c r="I494" s="3" t="n">
        <v>1868</v>
      </c>
      <c r="J494" s="3" t="n">
        <v>288812</v>
      </c>
      <c r="K494" s="3" t="n">
        <v>37291</v>
      </c>
      <c r="L494" s="3" t="n">
        <v>826</v>
      </c>
      <c r="M494" s="4" t="n">
        <f aca="false">IFERROR(D494/C494,0)</f>
        <v>0.07227998985544</v>
      </c>
      <c r="N494" s="4" t="n">
        <f aca="false">IFERROR(E494/C494,0)</f>
        <v>0.289627187420746</v>
      </c>
      <c r="O494" s="5" t="n">
        <f aca="false">IFERROR(F494/MAX(C494-D494,1),0)</f>
        <v>2.27501366867141</v>
      </c>
      <c r="P494" s="5" t="n">
        <f aca="false">IFERROR(F494/C494,0)</f>
        <v>2.11057570377885</v>
      </c>
      <c r="Q494" s="5" t="n">
        <f aca="false">IFERROR(H494/C494,0)</f>
        <v>389.493608927213</v>
      </c>
      <c r="R494" s="4" t="n">
        <f aca="false">IFERROR(I494/F494,0)</f>
        <v>0.224465272770969</v>
      </c>
      <c r="S494" s="4" t="n">
        <f aca="false">IFERROR(K494/J494,0)</f>
        <v>0.129118596180214</v>
      </c>
      <c r="T494" s="6" t="s">
        <v>23</v>
      </c>
    </row>
    <row r="495" customFormat="false" ht="15" hidden="false" customHeight="false" outlineLevel="0" collapsed="false">
      <c r="A495" s="3" t="s">
        <v>528</v>
      </c>
      <c r="B495" s="3" t="s">
        <v>22</v>
      </c>
      <c r="C495" s="3" t="n">
        <v>2269</v>
      </c>
      <c r="D495" s="3" t="n">
        <v>133</v>
      </c>
      <c r="E495" s="3" t="n">
        <v>640</v>
      </c>
      <c r="F495" s="3" t="n">
        <v>3447</v>
      </c>
      <c r="G495" s="3" t="n">
        <v>8</v>
      </c>
      <c r="H495" s="3" t="n">
        <v>916636.9</v>
      </c>
      <c r="I495" s="3" t="n">
        <v>624</v>
      </c>
      <c r="J495" s="3" t="n">
        <v>201477</v>
      </c>
      <c r="K495" s="3" t="n">
        <v>18713</v>
      </c>
      <c r="L495" s="3" t="n">
        <v>584</v>
      </c>
      <c r="M495" s="4" t="n">
        <f aca="false">IFERROR(D495/C495,0)</f>
        <v>0.0586161304539445</v>
      </c>
      <c r="N495" s="4" t="n">
        <f aca="false">IFERROR(E495/C495,0)</f>
        <v>0.282062582635522</v>
      </c>
      <c r="O495" s="5" t="n">
        <f aca="false">IFERROR(F495/MAX(C495-D495,1),0)</f>
        <v>1.61376404494382</v>
      </c>
      <c r="P495" s="5" t="n">
        <f aca="false">IFERROR(F495/C495,0)</f>
        <v>1.51917144116351</v>
      </c>
      <c r="Q495" s="5" t="n">
        <f aca="false">IFERROR(H495/C495,0)</f>
        <v>403.982767739092</v>
      </c>
      <c r="R495" s="4" t="n">
        <f aca="false">IFERROR(I495/F495,0)</f>
        <v>0.181026979982594</v>
      </c>
      <c r="S495" s="4" t="n">
        <f aca="false">IFERROR(K495/J495,0)</f>
        <v>0.0928790879355956</v>
      </c>
      <c r="T495" s="6" t="s">
        <v>23</v>
      </c>
    </row>
    <row r="496" customFormat="false" ht="15" hidden="false" customHeight="false" outlineLevel="0" collapsed="false">
      <c r="A496" s="3" t="s">
        <v>529</v>
      </c>
      <c r="B496" s="3" t="s">
        <v>22</v>
      </c>
      <c r="C496" s="3" t="n">
        <v>2130</v>
      </c>
      <c r="D496" s="3" t="n">
        <v>277</v>
      </c>
      <c r="E496" s="3" t="n">
        <v>959</v>
      </c>
      <c r="F496" s="3" t="n">
        <v>6025</v>
      </c>
      <c r="G496" s="3" t="n">
        <v>9</v>
      </c>
      <c r="H496" s="3" t="n">
        <v>1341113</v>
      </c>
      <c r="I496" s="3" t="n">
        <v>779</v>
      </c>
      <c r="J496" s="3" t="n">
        <v>400301</v>
      </c>
      <c r="K496" s="3" t="n">
        <v>64096</v>
      </c>
      <c r="L496" s="3" t="n">
        <v>366</v>
      </c>
      <c r="M496" s="4" t="n">
        <f aca="false">IFERROR(D496/C496,0)</f>
        <v>0.130046948356808</v>
      </c>
      <c r="N496" s="4" t="n">
        <f aca="false">IFERROR(E496/C496,0)</f>
        <v>0.450234741784038</v>
      </c>
      <c r="O496" s="5" t="n">
        <f aca="false">IFERROR(F496/MAX(C496-D496,1),0)</f>
        <v>3.25148407987048</v>
      </c>
      <c r="P496" s="5" t="n">
        <f aca="false">IFERROR(F496/C496,0)</f>
        <v>2.82863849765258</v>
      </c>
      <c r="Q496" s="5" t="n">
        <f aca="false">IFERROR(H496/C496,0)</f>
        <v>629.630516431925</v>
      </c>
      <c r="R496" s="4" t="n">
        <f aca="false">IFERROR(I496/F496,0)</f>
        <v>0.129294605809129</v>
      </c>
      <c r="S496" s="4" t="n">
        <f aca="false">IFERROR(K496/J496,0)</f>
        <v>0.160119510068673</v>
      </c>
      <c r="T496" s="6" t="s">
        <v>23</v>
      </c>
    </row>
    <row r="497" customFormat="false" ht="15" hidden="false" customHeight="false" outlineLevel="0" collapsed="false">
      <c r="A497" s="9" t="s">
        <v>530</v>
      </c>
      <c r="B497" s="9" t="s">
        <v>29</v>
      </c>
      <c r="C497" s="9" t="n">
        <v>2328</v>
      </c>
      <c r="D497" s="9" t="n">
        <v>934</v>
      </c>
      <c r="E497" s="9" t="n">
        <v>1546</v>
      </c>
      <c r="F497" s="9" t="n">
        <v>18210</v>
      </c>
      <c r="G497" s="9" t="n">
        <v>21</v>
      </c>
      <c r="H497" s="9" t="n">
        <v>2228662.4</v>
      </c>
      <c r="I497" s="9" t="n">
        <v>7067</v>
      </c>
      <c r="J497" s="9" t="n">
        <v>377738</v>
      </c>
      <c r="K497" s="9" t="n">
        <v>277602</v>
      </c>
      <c r="L497" s="9" t="n">
        <v>0</v>
      </c>
      <c r="M497" s="10" t="n">
        <f aca="false">IFERROR(D497/C497,0)</f>
        <v>0.401202749140894</v>
      </c>
      <c r="N497" s="10" t="n">
        <f aca="false">IFERROR(E497/C497,0)</f>
        <v>0.664089347079038</v>
      </c>
      <c r="O497" s="11" t="n">
        <f aca="false">IFERROR(F497/MAX(C497-D497,1),0)</f>
        <v>13.0631276901004</v>
      </c>
      <c r="P497" s="11" t="n">
        <f aca="false">IFERROR(F497/C497,0)</f>
        <v>7.82216494845361</v>
      </c>
      <c r="Q497" s="11" t="n">
        <f aca="false">IFERROR(H497/C497,0)</f>
        <v>957.329209621993</v>
      </c>
      <c r="R497" s="10" t="n">
        <f aca="false">IFERROR(I497/F497,0)</f>
        <v>0.388083470620538</v>
      </c>
      <c r="S497" s="10" t="n">
        <f aca="false">IFERROR(K497/J497,0)</f>
        <v>0.734906204829803</v>
      </c>
      <c r="T497" s="12" t="s">
        <v>30</v>
      </c>
    </row>
    <row r="498" customFormat="false" ht="15" hidden="false" customHeight="false" outlineLevel="0" collapsed="false">
      <c r="A498" s="3" t="s">
        <v>531</v>
      </c>
      <c r="B498" s="3" t="s">
        <v>22</v>
      </c>
      <c r="C498" s="3" t="n">
        <v>2237</v>
      </c>
      <c r="D498" s="3" t="n">
        <v>302</v>
      </c>
      <c r="E498" s="3" t="n">
        <v>795</v>
      </c>
      <c r="F498" s="3" t="n">
        <v>5622</v>
      </c>
      <c r="G498" s="3" t="n">
        <v>10</v>
      </c>
      <c r="H498" s="3" t="n">
        <v>956119.7</v>
      </c>
      <c r="I498" s="3" t="n">
        <v>1004</v>
      </c>
      <c r="J498" s="3" t="n">
        <v>245598</v>
      </c>
      <c r="K498" s="3" t="n">
        <v>59800</v>
      </c>
      <c r="L498" s="3" t="n">
        <v>1066</v>
      </c>
      <c r="M498" s="4" t="n">
        <f aca="false">IFERROR(D498/C498,0)</f>
        <v>0.135002235136343</v>
      </c>
      <c r="N498" s="4" t="n">
        <f aca="false">IFERROR(E498/C498,0)</f>
        <v>0.355386678587394</v>
      </c>
      <c r="O498" s="5" t="n">
        <f aca="false">IFERROR(F498/MAX(C498-D498,1),0)</f>
        <v>2.90542635658915</v>
      </c>
      <c r="P498" s="5" t="n">
        <f aca="false">IFERROR(F498/C498,0)</f>
        <v>2.51318730442557</v>
      </c>
      <c r="Q498" s="5" t="n">
        <f aca="false">IFERROR(H498/C498,0)</f>
        <v>427.411578006258</v>
      </c>
      <c r="R498" s="4" t="n">
        <f aca="false">IFERROR(I498/F498,0)</f>
        <v>0.178584133760228</v>
      </c>
      <c r="S498" s="4" t="n">
        <f aca="false">IFERROR(K498/J498,0)</f>
        <v>0.243487324815349</v>
      </c>
      <c r="T498" s="6" t="s">
        <v>23</v>
      </c>
    </row>
    <row r="499" customFormat="false" ht="15" hidden="false" customHeight="false" outlineLevel="0" collapsed="false">
      <c r="A499" s="9" t="s">
        <v>532</v>
      </c>
      <c r="B499" s="9" t="s">
        <v>26</v>
      </c>
      <c r="C499" s="9" t="n">
        <v>3382</v>
      </c>
      <c r="D499" s="9" t="n">
        <v>482</v>
      </c>
      <c r="E499" s="9" t="n">
        <v>1566</v>
      </c>
      <c r="F499" s="9" t="n">
        <v>19296</v>
      </c>
      <c r="G499" s="9" t="n">
        <v>16</v>
      </c>
      <c r="H499" s="9" t="n">
        <v>3422417.2</v>
      </c>
      <c r="I499" s="9" t="n">
        <v>14689</v>
      </c>
      <c r="J499" s="9" t="n">
        <v>493323</v>
      </c>
      <c r="K499" s="9" t="n">
        <v>310203</v>
      </c>
      <c r="L499" s="9" t="n">
        <v>1280</v>
      </c>
      <c r="M499" s="10" t="n">
        <f aca="false">IFERROR(D499/C499,0)</f>
        <v>0.142519219396807</v>
      </c>
      <c r="N499" s="10" t="n">
        <f aca="false">IFERROR(E499/C499,0)</f>
        <v>0.463039621525724</v>
      </c>
      <c r="O499" s="11" t="n">
        <f aca="false">IFERROR(F499/MAX(C499-D499,1),0)</f>
        <v>6.65379310344828</v>
      </c>
      <c r="P499" s="11" t="n">
        <f aca="false">IFERROR(F499/C499,0)</f>
        <v>5.70549970431697</v>
      </c>
      <c r="Q499" s="11" t="n">
        <f aca="false">IFERROR(H499/C499,0)</f>
        <v>1011.95068007096</v>
      </c>
      <c r="R499" s="10" t="n">
        <f aca="false">IFERROR(I499/F499,0)</f>
        <v>0.761245854063018</v>
      </c>
      <c r="S499" s="10" t="n">
        <f aca="false">IFERROR(K499/J499,0)</f>
        <v>0.628803035739262</v>
      </c>
      <c r="T499" s="12" t="s">
        <v>30</v>
      </c>
    </row>
    <row r="500" customFormat="false" ht="15" hidden="false" customHeight="false" outlineLevel="0" collapsed="false">
      <c r="A500" s="3" t="s">
        <v>533</v>
      </c>
      <c r="B500" s="3" t="s">
        <v>26</v>
      </c>
      <c r="C500" s="3" t="n">
        <v>2406</v>
      </c>
      <c r="D500" s="3" t="n">
        <v>101</v>
      </c>
      <c r="E500" s="3" t="n">
        <v>733</v>
      </c>
      <c r="F500" s="3" t="n">
        <v>5707</v>
      </c>
      <c r="G500" s="3" t="n">
        <v>14</v>
      </c>
      <c r="H500" s="3" t="n">
        <v>846414.5</v>
      </c>
      <c r="I500" s="3" t="n">
        <v>681</v>
      </c>
      <c r="J500" s="3" t="n">
        <v>203925</v>
      </c>
      <c r="K500" s="3" t="n">
        <v>36307</v>
      </c>
      <c r="L500" s="3" t="n">
        <v>590</v>
      </c>
      <c r="M500" s="4" t="n">
        <f aca="false">IFERROR(D500/C500,0)</f>
        <v>0.041978387364921</v>
      </c>
      <c r="N500" s="4" t="n">
        <f aca="false">IFERROR(E500/C500,0)</f>
        <v>0.304655029093932</v>
      </c>
      <c r="O500" s="5" t="n">
        <f aca="false">IFERROR(F500/MAX(C500-D500,1),0)</f>
        <v>2.47592190889371</v>
      </c>
      <c r="P500" s="5" t="n">
        <f aca="false">IFERROR(F500/C500,0)</f>
        <v>2.37198669991687</v>
      </c>
      <c r="Q500" s="5" t="n">
        <f aca="false">IFERROR(H500/C500,0)</f>
        <v>351.793225270158</v>
      </c>
      <c r="R500" s="4" t="n">
        <f aca="false">IFERROR(I500/F500,0)</f>
        <v>0.119327142106185</v>
      </c>
      <c r="S500" s="4" t="n">
        <f aca="false">IFERROR(K500/J500,0)</f>
        <v>0.178040946426382</v>
      </c>
      <c r="T500" s="6" t="s">
        <v>23</v>
      </c>
    </row>
    <row r="501" customFormat="false" ht="15" hidden="false" customHeight="false" outlineLevel="0" collapsed="false">
      <c r="A501" s="3" t="s">
        <v>534</v>
      </c>
      <c r="B501" s="3" t="s">
        <v>26</v>
      </c>
      <c r="C501" s="3" t="n">
        <v>3838</v>
      </c>
      <c r="D501" s="3" t="n">
        <v>483</v>
      </c>
      <c r="E501" s="3" t="n">
        <v>1314</v>
      </c>
      <c r="F501" s="3" t="n">
        <v>9745</v>
      </c>
      <c r="G501" s="3" t="n">
        <v>11</v>
      </c>
      <c r="H501" s="3" t="n">
        <v>2513769.5</v>
      </c>
      <c r="I501" s="3" t="n">
        <v>2114</v>
      </c>
      <c r="J501" s="3" t="n">
        <v>385791</v>
      </c>
      <c r="K501" s="3" t="n">
        <v>65911</v>
      </c>
      <c r="L501" s="3" t="n">
        <v>1663</v>
      </c>
      <c r="M501" s="4" t="n">
        <f aca="false">IFERROR(D501/C501,0)</f>
        <v>0.125846795205836</v>
      </c>
      <c r="N501" s="4" t="n">
        <f aca="false">IFERROR(E501/C501,0)</f>
        <v>0.342365815528921</v>
      </c>
      <c r="O501" s="5" t="n">
        <f aca="false">IFERROR(F501/MAX(C501-D501,1),0)</f>
        <v>2.90461997019374</v>
      </c>
      <c r="P501" s="5" t="n">
        <f aca="false">IFERROR(F501/C501,0)</f>
        <v>2.53908285565399</v>
      </c>
      <c r="Q501" s="5" t="n">
        <f aca="false">IFERROR(H501/C501,0)</f>
        <v>654.968603439291</v>
      </c>
      <c r="R501" s="4" t="n">
        <f aca="false">IFERROR(I501/F501,0)</f>
        <v>0.21693175987686</v>
      </c>
      <c r="S501" s="4" t="n">
        <f aca="false">IFERROR(K501/J501,0)</f>
        <v>0.170846390921509</v>
      </c>
      <c r="T501" s="6" t="s">
        <v>23</v>
      </c>
    </row>
    <row r="502" customFormat="false" ht="15" hidden="false" customHeight="false" outlineLevel="0" collapsed="false">
      <c r="A502" s="9" t="s">
        <v>535</v>
      </c>
      <c r="B502" s="9" t="s">
        <v>29</v>
      </c>
      <c r="C502" s="9" t="n">
        <v>3483</v>
      </c>
      <c r="D502" s="9" t="n">
        <v>1044</v>
      </c>
      <c r="E502" s="9" t="n">
        <v>1801</v>
      </c>
      <c r="F502" s="9" t="n">
        <v>33074</v>
      </c>
      <c r="G502" s="9" t="n">
        <v>26</v>
      </c>
      <c r="H502" s="9" t="n">
        <v>3628092.9</v>
      </c>
      <c r="I502" s="9" t="n">
        <v>23741</v>
      </c>
      <c r="J502" s="9" t="n">
        <v>388578</v>
      </c>
      <c r="K502" s="9" t="n">
        <v>184587</v>
      </c>
      <c r="L502" s="9" t="n">
        <v>0</v>
      </c>
      <c r="M502" s="10" t="n">
        <f aca="false">IFERROR(D502/C502,0)</f>
        <v>0.299741602067184</v>
      </c>
      <c r="N502" s="10" t="n">
        <f aca="false">IFERROR(E502/C502,0)</f>
        <v>0.517082974447316</v>
      </c>
      <c r="O502" s="11" t="n">
        <f aca="false">IFERROR(F502/MAX(C502-D502,1),0)</f>
        <v>13.560475604756</v>
      </c>
      <c r="P502" s="11" t="n">
        <f aca="false">IFERROR(F502/C502,0)</f>
        <v>9.49583692219351</v>
      </c>
      <c r="Q502" s="11" t="n">
        <f aca="false">IFERROR(H502/C502,0)</f>
        <v>1041.65745047373</v>
      </c>
      <c r="R502" s="10" t="n">
        <f aca="false">IFERROR(I502/F502,0)</f>
        <v>0.717814597569088</v>
      </c>
      <c r="S502" s="10" t="n">
        <f aca="false">IFERROR(K502/J502,0)</f>
        <v>0.475032039899325</v>
      </c>
      <c r="T502" s="12" t="s">
        <v>30</v>
      </c>
    </row>
    <row r="503" customFormat="false" ht="15" hidden="false" customHeight="false" outlineLevel="0" collapsed="false">
      <c r="A503" s="3" t="s">
        <v>536</v>
      </c>
      <c r="B503" s="3" t="s">
        <v>26</v>
      </c>
      <c r="C503" s="3" t="n">
        <v>2972</v>
      </c>
      <c r="D503" s="3" t="n">
        <v>547</v>
      </c>
      <c r="E503" s="3" t="n">
        <v>1565</v>
      </c>
      <c r="F503" s="3" t="n">
        <v>10524</v>
      </c>
      <c r="G503" s="3" t="n">
        <v>11</v>
      </c>
      <c r="H503" s="3" t="n">
        <v>1369860.4</v>
      </c>
      <c r="I503" s="3" t="n">
        <v>3101</v>
      </c>
      <c r="J503" s="3" t="n">
        <v>449907</v>
      </c>
      <c r="K503" s="3" t="n">
        <v>116436</v>
      </c>
      <c r="L503" s="3" t="n">
        <v>423</v>
      </c>
      <c r="M503" s="4" t="n">
        <f aca="false">IFERROR(D503/C503,0)</f>
        <v>0.184051144010767</v>
      </c>
      <c r="N503" s="4" t="n">
        <f aca="false">IFERROR(E503/C503,0)</f>
        <v>0.526581426648721</v>
      </c>
      <c r="O503" s="5" t="n">
        <f aca="false">IFERROR(F503/MAX(C503-D503,1),0)</f>
        <v>4.33979381443299</v>
      </c>
      <c r="P503" s="5" t="n">
        <f aca="false">IFERROR(F503/C503,0)</f>
        <v>3.54104979811575</v>
      </c>
      <c r="Q503" s="5" t="n">
        <f aca="false">IFERROR(H503/C503,0)</f>
        <v>460.922072678331</v>
      </c>
      <c r="R503" s="4" t="n">
        <f aca="false">IFERROR(I503/F503,0)</f>
        <v>0.294659825161536</v>
      </c>
      <c r="S503" s="4" t="n">
        <f aca="false">IFERROR(K503/J503,0)</f>
        <v>0.25880015203142</v>
      </c>
      <c r="T503" s="6" t="s">
        <v>23</v>
      </c>
    </row>
    <row r="504" customFormat="false" ht="15" hidden="false" customHeight="false" outlineLevel="0" collapsed="false">
      <c r="A504" s="3" t="s">
        <v>537</v>
      </c>
      <c r="B504" s="3" t="s">
        <v>29</v>
      </c>
      <c r="C504" s="3" t="n">
        <v>1974</v>
      </c>
      <c r="D504" s="3" t="n">
        <v>189</v>
      </c>
      <c r="E504" s="3" t="n">
        <v>738</v>
      </c>
      <c r="F504" s="3" t="n">
        <v>4367</v>
      </c>
      <c r="G504" s="3" t="n">
        <v>12</v>
      </c>
      <c r="H504" s="3" t="n">
        <v>832062.8</v>
      </c>
      <c r="I504" s="3" t="n">
        <v>793</v>
      </c>
      <c r="J504" s="3" t="n">
        <v>266912</v>
      </c>
      <c r="K504" s="3" t="n">
        <v>55391</v>
      </c>
      <c r="L504" s="3" t="n">
        <v>0</v>
      </c>
      <c r="M504" s="4" t="n">
        <f aca="false">IFERROR(D504/C504,0)</f>
        <v>0.0957446808510638</v>
      </c>
      <c r="N504" s="4" t="n">
        <f aca="false">IFERROR(E504/C504,0)</f>
        <v>0.373860182370821</v>
      </c>
      <c r="O504" s="5" t="n">
        <f aca="false">IFERROR(F504/MAX(C504-D504,1),0)</f>
        <v>2.44649859943978</v>
      </c>
      <c r="P504" s="5" t="n">
        <f aca="false">IFERROR(F504/C504,0)</f>
        <v>2.21225937183384</v>
      </c>
      <c r="Q504" s="5" t="n">
        <f aca="false">IFERROR(H504/C504,0)</f>
        <v>421.511043566363</v>
      </c>
      <c r="R504" s="4" t="n">
        <f aca="false">IFERROR(I504/F504,0)</f>
        <v>0.181589191664758</v>
      </c>
      <c r="S504" s="4" t="n">
        <f aca="false">IFERROR(K504/J504,0)</f>
        <v>0.207525326699437</v>
      </c>
      <c r="T504" s="6" t="s">
        <v>23</v>
      </c>
    </row>
    <row r="505" customFormat="false" ht="15" hidden="false" customHeight="false" outlineLevel="0" collapsed="false">
      <c r="A505" s="3" t="s">
        <v>538</v>
      </c>
      <c r="B505" s="3" t="s">
        <v>26</v>
      </c>
      <c r="C505" s="3" t="n">
        <v>1886</v>
      </c>
      <c r="D505" s="3" t="n">
        <v>212</v>
      </c>
      <c r="E505" s="3" t="n">
        <v>825</v>
      </c>
      <c r="F505" s="3" t="n">
        <v>4959</v>
      </c>
      <c r="G505" s="3" t="n">
        <v>10</v>
      </c>
      <c r="H505" s="3" t="n">
        <v>837317.6</v>
      </c>
      <c r="I505" s="3" t="n">
        <v>1008</v>
      </c>
      <c r="J505" s="3" t="n">
        <v>159997</v>
      </c>
      <c r="K505" s="3" t="n">
        <v>35360</v>
      </c>
      <c r="L505" s="3" t="n">
        <v>769</v>
      </c>
      <c r="M505" s="4" t="n">
        <f aca="false">IFERROR(D505/C505,0)</f>
        <v>0.112407211028632</v>
      </c>
      <c r="N505" s="4" t="n">
        <f aca="false">IFERROR(E505/C505,0)</f>
        <v>0.437433722163309</v>
      </c>
      <c r="O505" s="5" t="n">
        <f aca="false">IFERROR(F505/MAX(C505-D505,1),0)</f>
        <v>2.96236559139785</v>
      </c>
      <c r="P505" s="5" t="n">
        <f aca="false">IFERROR(F505/C505,0)</f>
        <v>2.62937433722163</v>
      </c>
      <c r="Q505" s="5" t="n">
        <f aca="false">IFERROR(H505/C505,0)</f>
        <v>443.96479321315</v>
      </c>
      <c r="R505" s="4" t="n">
        <f aca="false">IFERROR(I505/F505,0)</f>
        <v>0.203266787658802</v>
      </c>
      <c r="S505" s="4" t="n">
        <f aca="false">IFERROR(K505/J505,0)</f>
        <v>0.221004143827697</v>
      </c>
      <c r="T505" s="6" t="s">
        <v>23</v>
      </c>
    </row>
    <row r="506" customFormat="false" ht="15" hidden="false" customHeight="false" outlineLevel="0" collapsed="false">
      <c r="A506" s="3" t="s">
        <v>539</v>
      </c>
      <c r="B506" s="3" t="s">
        <v>26</v>
      </c>
      <c r="C506" s="3" t="n">
        <v>556</v>
      </c>
      <c r="D506" s="3" t="n">
        <v>49</v>
      </c>
      <c r="E506" s="3" t="n">
        <v>138</v>
      </c>
      <c r="F506" s="3" t="n">
        <v>1180</v>
      </c>
      <c r="G506" s="3" t="n">
        <v>8</v>
      </c>
      <c r="H506" s="3" t="n">
        <v>172301.3</v>
      </c>
      <c r="I506" s="3" t="n">
        <v>217</v>
      </c>
      <c r="J506" s="3" t="n">
        <v>59892</v>
      </c>
      <c r="K506" s="3" t="n">
        <v>9024</v>
      </c>
      <c r="L506" s="3" t="n">
        <v>205</v>
      </c>
      <c r="M506" s="4" t="n">
        <f aca="false">IFERROR(D506/C506,0)</f>
        <v>0.0881294964028777</v>
      </c>
      <c r="N506" s="4" t="n">
        <f aca="false">IFERROR(E506/C506,0)</f>
        <v>0.248201438848921</v>
      </c>
      <c r="O506" s="5" t="n">
        <f aca="false">IFERROR(F506/MAX(C506-D506,1),0)</f>
        <v>2.32741617357002</v>
      </c>
      <c r="P506" s="5" t="n">
        <f aca="false">IFERROR(F506/C506,0)</f>
        <v>2.12230215827338</v>
      </c>
      <c r="Q506" s="5" t="n">
        <f aca="false">IFERROR(H506/C506,0)</f>
        <v>309.894424460432</v>
      </c>
      <c r="R506" s="4" t="n">
        <f aca="false">IFERROR(I506/F506,0)</f>
        <v>0.183898305084746</v>
      </c>
      <c r="S506" s="4" t="n">
        <f aca="false">IFERROR(K506/J506,0)</f>
        <v>0.150671208174715</v>
      </c>
      <c r="T506" s="6" t="s">
        <v>23</v>
      </c>
    </row>
    <row r="507" customFormat="false" ht="15" hidden="false" customHeight="false" outlineLevel="0" collapsed="false">
      <c r="A507" s="3" t="s">
        <v>540</v>
      </c>
      <c r="B507" s="3" t="s">
        <v>26</v>
      </c>
      <c r="C507" s="3" t="n">
        <v>295</v>
      </c>
      <c r="D507" s="3" t="n">
        <v>32</v>
      </c>
      <c r="E507" s="3" t="n">
        <v>77</v>
      </c>
      <c r="F507" s="3" t="n">
        <v>576</v>
      </c>
      <c r="G507" s="3" t="n">
        <v>7</v>
      </c>
      <c r="H507" s="3" t="n">
        <v>87117.4</v>
      </c>
      <c r="I507" s="3" t="n">
        <v>122</v>
      </c>
      <c r="J507" s="3" t="n">
        <v>33437</v>
      </c>
      <c r="K507" s="3" t="n">
        <v>5575</v>
      </c>
      <c r="L507" s="3" t="n">
        <v>92</v>
      </c>
      <c r="M507" s="4" t="n">
        <f aca="false">IFERROR(D507/C507,0)</f>
        <v>0.108474576271186</v>
      </c>
      <c r="N507" s="4" t="n">
        <f aca="false">IFERROR(E507/C507,0)</f>
        <v>0.261016949152542</v>
      </c>
      <c r="O507" s="5" t="n">
        <f aca="false">IFERROR(F507/MAX(C507-D507,1),0)</f>
        <v>2.19011406844106</v>
      </c>
      <c r="P507" s="5" t="n">
        <f aca="false">IFERROR(F507/C507,0)</f>
        <v>1.95254237288136</v>
      </c>
      <c r="Q507" s="5" t="n">
        <f aca="false">IFERROR(H507/C507,0)</f>
        <v>295.313220338983</v>
      </c>
      <c r="R507" s="4" t="n">
        <f aca="false">IFERROR(I507/F507,0)</f>
        <v>0.211805555555556</v>
      </c>
      <c r="S507" s="4" t="n">
        <f aca="false">IFERROR(K507/J507,0)</f>
        <v>0.166731465143404</v>
      </c>
      <c r="T507" s="6" t="s">
        <v>23</v>
      </c>
    </row>
    <row r="508" customFormat="false" ht="15" hidden="false" customHeight="false" outlineLevel="0" collapsed="false">
      <c r="A508" s="3" t="s">
        <v>541</v>
      </c>
      <c r="B508" s="3" t="s">
        <v>26</v>
      </c>
      <c r="C508" s="3" t="n">
        <v>2385</v>
      </c>
      <c r="D508" s="3" t="n">
        <v>173</v>
      </c>
      <c r="E508" s="3" t="n">
        <v>583</v>
      </c>
      <c r="F508" s="3" t="n">
        <v>3627</v>
      </c>
      <c r="G508" s="3" t="n">
        <v>10</v>
      </c>
      <c r="H508" s="3" t="n">
        <v>792457.5</v>
      </c>
      <c r="I508" s="3" t="n">
        <v>674</v>
      </c>
      <c r="J508" s="3" t="n">
        <v>197464</v>
      </c>
      <c r="K508" s="3" t="n">
        <v>33385</v>
      </c>
      <c r="L508" s="3" t="n">
        <v>301</v>
      </c>
      <c r="M508" s="4" t="n">
        <f aca="false">IFERROR(D508/C508,0)</f>
        <v>0.0725366876310273</v>
      </c>
      <c r="N508" s="4" t="n">
        <f aca="false">IFERROR(E508/C508,0)</f>
        <v>0.244444444444444</v>
      </c>
      <c r="O508" s="5" t="n">
        <f aca="false">IFERROR(F508/MAX(C508-D508,1),0)</f>
        <v>1.63969258589512</v>
      </c>
      <c r="P508" s="5" t="n">
        <f aca="false">IFERROR(F508/C508,0)</f>
        <v>1.52075471698113</v>
      </c>
      <c r="Q508" s="5" t="n">
        <f aca="false">IFERROR(H508/C508,0)</f>
        <v>332.267295597484</v>
      </c>
      <c r="R508" s="4" t="n">
        <f aca="false">IFERROR(I508/F508,0)</f>
        <v>0.185828508409154</v>
      </c>
      <c r="S508" s="4" t="n">
        <f aca="false">IFERROR(K508/J508,0)</f>
        <v>0.169068792286189</v>
      </c>
      <c r="T508" s="6" t="s">
        <v>23</v>
      </c>
    </row>
    <row r="509" customFormat="false" ht="15" hidden="false" customHeight="false" outlineLevel="0" collapsed="false">
      <c r="A509" s="9" t="s">
        <v>542</v>
      </c>
      <c r="B509" s="9" t="s">
        <v>22</v>
      </c>
      <c r="C509" s="9" t="n">
        <v>860</v>
      </c>
      <c r="D509" s="9" t="n">
        <v>125</v>
      </c>
      <c r="E509" s="9" t="n">
        <v>421</v>
      </c>
      <c r="F509" s="9" t="n">
        <v>3440</v>
      </c>
      <c r="G509" s="9" t="n">
        <v>11</v>
      </c>
      <c r="H509" s="9" t="n">
        <v>777879.3</v>
      </c>
      <c r="I509" s="9" t="n">
        <v>2049</v>
      </c>
      <c r="J509" s="9" t="n">
        <v>143446</v>
      </c>
      <c r="K509" s="9" t="n">
        <v>117649</v>
      </c>
      <c r="L509" s="9" t="n">
        <v>161</v>
      </c>
      <c r="M509" s="10" t="n">
        <f aca="false">IFERROR(D509/C509,0)</f>
        <v>0.145348837209302</v>
      </c>
      <c r="N509" s="10" t="n">
        <f aca="false">IFERROR(E509/C509,0)</f>
        <v>0.48953488372093</v>
      </c>
      <c r="O509" s="11" t="n">
        <f aca="false">IFERROR(F509/MAX(C509-D509,1),0)</f>
        <v>4.68027210884354</v>
      </c>
      <c r="P509" s="11" t="n">
        <f aca="false">IFERROR(F509/C509,0)</f>
        <v>4</v>
      </c>
      <c r="Q509" s="11" t="n">
        <f aca="false">IFERROR(H509/C509,0)</f>
        <v>904.510813953488</v>
      </c>
      <c r="R509" s="10" t="n">
        <f aca="false">IFERROR(I509/F509,0)</f>
        <v>0.595639534883721</v>
      </c>
      <c r="S509" s="10" t="n">
        <f aca="false">IFERROR(K509/J509,0)</f>
        <v>0.820162291036348</v>
      </c>
      <c r="T509" s="12" t="s">
        <v>30</v>
      </c>
    </row>
    <row r="510" customFormat="false" ht="15" hidden="false" customHeight="false" outlineLevel="0" collapsed="false">
      <c r="A510" s="3" t="s">
        <v>543</v>
      </c>
      <c r="B510" s="3" t="s">
        <v>26</v>
      </c>
      <c r="C510" s="3" t="n">
        <v>2212</v>
      </c>
      <c r="D510" s="3" t="n">
        <v>389</v>
      </c>
      <c r="E510" s="3" t="n">
        <v>741</v>
      </c>
      <c r="F510" s="3" t="n">
        <v>8412</v>
      </c>
      <c r="G510" s="3" t="n">
        <v>19</v>
      </c>
      <c r="H510" s="3" t="n">
        <v>1146388.6</v>
      </c>
      <c r="I510" s="3" t="n">
        <v>1796</v>
      </c>
      <c r="J510" s="3" t="n">
        <v>395133</v>
      </c>
      <c r="K510" s="3" t="n">
        <v>63813</v>
      </c>
      <c r="L510" s="3" t="n">
        <v>586</v>
      </c>
      <c r="M510" s="4" t="n">
        <f aca="false">IFERROR(D510/C510,0)</f>
        <v>0.175858951175407</v>
      </c>
      <c r="N510" s="4" t="n">
        <f aca="false">IFERROR(E510/C510,0)</f>
        <v>0.33499095840868</v>
      </c>
      <c r="O510" s="5" t="n">
        <f aca="false">IFERROR(F510/MAX(C510-D510,1),0)</f>
        <v>4.61437191442677</v>
      </c>
      <c r="P510" s="5" t="n">
        <f aca="false">IFERROR(F510/C510,0)</f>
        <v>3.80289330922242</v>
      </c>
      <c r="Q510" s="5" t="n">
        <f aca="false">IFERROR(H510/C510,0)</f>
        <v>518.258860759494</v>
      </c>
      <c r="R510" s="4" t="n">
        <f aca="false">IFERROR(I510/F510,0)</f>
        <v>0.213504517356158</v>
      </c>
      <c r="S510" s="4" t="n">
        <f aca="false">IFERROR(K510/J510,0)</f>
        <v>0.161497521087836</v>
      </c>
      <c r="T510" s="6" t="s">
        <v>23</v>
      </c>
    </row>
    <row r="511" customFormat="false" ht="15" hidden="false" customHeight="false" outlineLevel="0" collapsed="false">
      <c r="A511" s="3" t="s">
        <v>544</v>
      </c>
      <c r="B511" s="3" t="s">
        <v>29</v>
      </c>
      <c r="C511" s="3" t="n">
        <v>972</v>
      </c>
      <c r="D511" s="3" t="n">
        <v>182</v>
      </c>
      <c r="E511" s="3" t="n">
        <v>349</v>
      </c>
      <c r="F511" s="3" t="n">
        <v>3807</v>
      </c>
      <c r="G511" s="3" t="n">
        <v>18</v>
      </c>
      <c r="H511" s="3" t="n">
        <v>557543.9</v>
      </c>
      <c r="I511" s="3" t="n">
        <v>676</v>
      </c>
      <c r="J511" s="3" t="n">
        <v>121533</v>
      </c>
      <c r="K511" s="3" t="n">
        <v>24461</v>
      </c>
      <c r="L511" s="3" t="n">
        <v>0</v>
      </c>
      <c r="M511" s="4" t="n">
        <f aca="false">IFERROR(D511/C511,0)</f>
        <v>0.187242798353909</v>
      </c>
      <c r="N511" s="4" t="n">
        <f aca="false">IFERROR(E511/C511,0)</f>
        <v>0.359053497942387</v>
      </c>
      <c r="O511" s="5" t="n">
        <f aca="false">IFERROR(F511/MAX(C511-D511,1),0)</f>
        <v>4.81898734177215</v>
      </c>
      <c r="P511" s="5" t="n">
        <f aca="false">IFERROR(F511/C511,0)</f>
        <v>3.91666666666667</v>
      </c>
      <c r="Q511" s="5" t="n">
        <f aca="false">IFERROR(H511/C511,0)</f>
        <v>573.604835390947</v>
      </c>
      <c r="R511" s="4" t="n">
        <f aca="false">IFERROR(I511/F511,0)</f>
        <v>0.177567638560546</v>
      </c>
      <c r="S511" s="4" t="n">
        <f aca="false">IFERROR(K511/J511,0)</f>
        <v>0.201270436836086</v>
      </c>
      <c r="T511" s="6" t="s">
        <v>23</v>
      </c>
    </row>
    <row r="512" customFormat="false" ht="15" hidden="false" customHeight="false" outlineLevel="0" collapsed="false">
      <c r="A512" s="3" t="s">
        <v>545</v>
      </c>
      <c r="B512" s="3" t="s">
        <v>26</v>
      </c>
      <c r="C512" s="3" t="n">
        <v>3302</v>
      </c>
      <c r="D512" s="3" t="n">
        <v>486</v>
      </c>
      <c r="E512" s="3" t="n">
        <v>1181</v>
      </c>
      <c r="F512" s="3" t="n">
        <v>10526</v>
      </c>
      <c r="G512" s="3" t="n">
        <v>12</v>
      </c>
      <c r="H512" s="3" t="n">
        <v>1519938.9</v>
      </c>
      <c r="I512" s="3" t="n">
        <v>2551</v>
      </c>
      <c r="J512" s="3" t="n">
        <v>478474</v>
      </c>
      <c r="K512" s="3" t="n">
        <v>88712</v>
      </c>
      <c r="L512" s="3" t="n">
        <v>747</v>
      </c>
      <c r="M512" s="4" t="n">
        <f aca="false">IFERROR(D512/C512,0)</f>
        <v>0.147183525136281</v>
      </c>
      <c r="N512" s="4" t="n">
        <f aca="false">IFERROR(E512/C512,0)</f>
        <v>0.357662023016354</v>
      </c>
      <c r="O512" s="5" t="n">
        <f aca="false">IFERROR(F512/MAX(C512-D512,1),0)</f>
        <v>3.73792613636364</v>
      </c>
      <c r="P512" s="5" t="n">
        <f aca="false">IFERROR(F512/C512,0)</f>
        <v>3.1877649909146</v>
      </c>
      <c r="Q512" s="5" t="n">
        <f aca="false">IFERROR(H512/C512,0)</f>
        <v>460.308570563295</v>
      </c>
      <c r="R512" s="4" t="n">
        <f aca="false">IFERROR(I512/F512,0)</f>
        <v>0.242352270568117</v>
      </c>
      <c r="S512" s="4" t="n">
        <f aca="false">IFERROR(K512/J512,0)</f>
        <v>0.185406103570936</v>
      </c>
      <c r="T512" s="6" t="s">
        <v>23</v>
      </c>
    </row>
    <row r="513" customFormat="false" ht="15" hidden="false" customHeight="false" outlineLevel="0" collapsed="false">
      <c r="A513" s="3" t="s">
        <v>546</v>
      </c>
      <c r="B513" s="3" t="s">
        <v>29</v>
      </c>
      <c r="C513" s="3" t="n">
        <v>2341</v>
      </c>
      <c r="D513" s="3" t="n">
        <v>90</v>
      </c>
      <c r="E513" s="3" t="n">
        <v>751</v>
      </c>
      <c r="F513" s="3" t="n">
        <v>5539</v>
      </c>
      <c r="G513" s="3" t="n">
        <v>15</v>
      </c>
      <c r="H513" s="3" t="n">
        <v>882471.8</v>
      </c>
      <c r="I513" s="3" t="n">
        <v>1173</v>
      </c>
      <c r="J513" s="3" t="n">
        <v>205815</v>
      </c>
      <c r="K513" s="3" t="n">
        <v>32051</v>
      </c>
      <c r="L513" s="3" t="n">
        <v>0</v>
      </c>
      <c r="M513" s="4" t="n">
        <f aca="false">IFERROR(D513/C513,0)</f>
        <v>0.0384451089278086</v>
      </c>
      <c r="N513" s="4" t="n">
        <f aca="false">IFERROR(E513/C513,0)</f>
        <v>0.320803075608714</v>
      </c>
      <c r="O513" s="5" t="n">
        <f aca="false">IFERROR(F513/MAX(C513-D513,1),0)</f>
        <v>2.46068414038205</v>
      </c>
      <c r="P513" s="5" t="n">
        <f aca="false">IFERROR(F513/C513,0)</f>
        <v>2.36608287056813</v>
      </c>
      <c r="Q513" s="5" t="n">
        <f aca="false">IFERROR(H513/C513,0)</f>
        <v>376.963605296882</v>
      </c>
      <c r="R513" s="4" t="n">
        <f aca="false">IFERROR(I513/F513,0)</f>
        <v>0.211771077811879</v>
      </c>
      <c r="S513" s="4" t="n">
        <f aca="false">IFERROR(K513/J513,0)</f>
        <v>0.155727230765493</v>
      </c>
      <c r="T513" s="6" t="s">
        <v>23</v>
      </c>
    </row>
    <row r="514" customFormat="false" ht="15" hidden="false" customHeight="false" outlineLevel="0" collapsed="false">
      <c r="A514" s="9" t="s">
        <v>547</v>
      </c>
      <c r="B514" s="9" t="s">
        <v>29</v>
      </c>
      <c r="C514" s="9" t="n">
        <v>2545</v>
      </c>
      <c r="D514" s="9" t="n">
        <v>953</v>
      </c>
      <c r="E514" s="9" t="n">
        <v>1825</v>
      </c>
      <c r="F514" s="9" t="n">
        <v>22871</v>
      </c>
      <c r="G514" s="9" t="n">
        <v>30</v>
      </c>
      <c r="H514" s="9" t="n">
        <v>3037407.2</v>
      </c>
      <c r="I514" s="9" t="n">
        <v>15241</v>
      </c>
      <c r="J514" s="9" t="n">
        <v>373440</v>
      </c>
      <c r="K514" s="9" t="n">
        <v>229467</v>
      </c>
      <c r="L514" s="9" t="n">
        <v>0</v>
      </c>
      <c r="M514" s="10" t="n">
        <f aca="false">IFERROR(D514/C514,0)</f>
        <v>0.374459724950884</v>
      </c>
      <c r="N514" s="10" t="n">
        <f aca="false">IFERROR(E514/C514,0)</f>
        <v>0.717092337917485</v>
      </c>
      <c r="O514" s="11" t="n">
        <f aca="false">IFERROR(F514/MAX(C514-D514,1),0)</f>
        <v>14.3662060301508</v>
      </c>
      <c r="P514" s="11" t="n">
        <f aca="false">IFERROR(F514/C514,0)</f>
        <v>8.98664047151277</v>
      </c>
      <c r="Q514" s="11" t="n">
        <f aca="false">IFERROR(H514/C514,0)</f>
        <v>1193.48023575639</v>
      </c>
      <c r="R514" s="10" t="n">
        <f aca="false">IFERROR(I514/F514,0)</f>
        <v>0.666389751213327</v>
      </c>
      <c r="S514" s="10" t="n">
        <f aca="false">IFERROR(K514/J514,0)</f>
        <v>0.614468187660668</v>
      </c>
      <c r="T514" s="12" t="s">
        <v>30</v>
      </c>
    </row>
    <row r="515" customFormat="false" ht="15" hidden="false" customHeight="false" outlineLevel="0" collapsed="false">
      <c r="A515" s="3" t="s">
        <v>548</v>
      </c>
      <c r="B515" s="3" t="s">
        <v>29</v>
      </c>
      <c r="C515" s="3" t="n">
        <v>2674</v>
      </c>
      <c r="D515" s="3" t="n">
        <v>287</v>
      </c>
      <c r="E515" s="3" t="n">
        <v>1095</v>
      </c>
      <c r="F515" s="3" t="n">
        <v>7244</v>
      </c>
      <c r="G515" s="3" t="n">
        <v>11</v>
      </c>
      <c r="H515" s="3" t="n">
        <v>1102198.8</v>
      </c>
      <c r="I515" s="3" t="n">
        <v>1150</v>
      </c>
      <c r="J515" s="3" t="n">
        <v>360918</v>
      </c>
      <c r="K515" s="3" t="n">
        <v>73000</v>
      </c>
      <c r="L515" s="3" t="n">
        <v>0</v>
      </c>
      <c r="M515" s="4" t="n">
        <f aca="false">IFERROR(D515/C515,0)</f>
        <v>0.107329842931937</v>
      </c>
      <c r="N515" s="4" t="n">
        <f aca="false">IFERROR(E515/C515,0)</f>
        <v>0.409498878085266</v>
      </c>
      <c r="O515" s="5" t="n">
        <f aca="false">IFERROR(F515/MAX(C515-D515,1),0)</f>
        <v>3.03477167993297</v>
      </c>
      <c r="P515" s="5" t="n">
        <f aca="false">IFERROR(F515/C515,0)</f>
        <v>2.70905011219147</v>
      </c>
      <c r="Q515" s="5" t="n">
        <f aca="false">IFERROR(H515/C515,0)</f>
        <v>412.191024682124</v>
      </c>
      <c r="R515" s="4" t="n">
        <f aca="false">IFERROR(I515/F515,0)</f>
        <v>0.158752070679183</v>
      </c>
      <c r="S515" s="4" t="n">
        <f aca="false">IFERROR(K515/J515,0)</f>
        <v>0.202262009653162</v>
      </c>
      <c r="T515" s="6" t="s">
        <v>23</v>
      </c>
    </row>
    <row r="516" customFormat="false" ht="15" hidden="false" customHeight="false" outlineLevel="0" collapsed="false">
      <c r="A516" s="3" t="s">
        <v>549</v>
      </c>
      <c r="B516" s="3" t="s">
        <v>26</v>
      </c>
      <c r="C516" s="3" t="n">
        <v>2337</v>
      </c>
      <c r="D516" s="3" t="n">
        <v>224</v>
      </c>
      <c r="E516" s="3" t="n">
        <v>668</v>
      </c>
      <c r="F516" s="3" t="n">
        <v>7838</v>
      </c>
      <c r="G516" s="3" t="n">
        <v>16</v>
      </c>
      <c r="H516" s="3" t="n">
        <v>1239629.7</v>
      </c>
      <c r="I516" s="3" t="n">
        <v>1685</v>
      </c>
      <c r="J516" s="3" t="n">
        <v>225336</v>
      </c>
      <c r="K516" s="3" t="n">
        <v>39740</v>
      </c>
      <c r="L516" s="3" t="n">
        <v>467</v>
      </c>
      <c r="M516" s="4" t="n">
        <f aca="false">IFERROR(D516/C516,0)</f>
        <v>0.095849379546427</v>
      </c>
      <c r="N516" s="4" t="n">
        <f aca="false">IFERROR(E516/C516,0)</f>
        <v>0.285836542575952</v>
      </c>
      <c r="O516" s="5" t="n">
        <f aca="false">IFERROR(F516/MAX(C516-D516,1),0)</f>
        <v>3.70941788925698</v>
      </c>
      <c r="P516" s="5" t="n">
        <f aca="false">IFERROR(F516/C516,0)</f>
        <v>3.35387248609328</v>
      </c>
      <c r="Q516" s="5" t="n">
        <f aca="false">IFERROR(H516/C516,0)</f>
        <v>530.436328626444</v>
      </c>
      <c r="R516" s="4" t="n">
        <f aca="false">IFERROR(I516/F516,0)</f>
        <v>0.21497831079357</v>
      </c>
      <c r="S516" s="4" t="n">
        <f aca="false">IFERROR(K516/J516,0)</f>
        <v>0.176358859658466</v>
      </c>
      <c r="T516" s="6" t="s">
        <v>23</v>
      </c>
    </row>
    <row r="517" customFormat="false" ht="15" hidden="false" customHeight="false" outlineLevel="0" collapsed="false">
      <c r="A517" s="3" t="s">
        <v>550</v>
      </c>
      <c r="B517" s="3" t="s">
        <v>29</v>
      </c>
      <c r="C517" s="3" t="n">
        <v>3480</v>
      </c>
      <c r="D517" s="3" t="n">
        <v>289</v>
      </c>
      <c r="E517" s="3" t="n">
        <v>1373</v>
      </c>
      <c r="F517" s="3" t="n">
        <v>9673</v>
      </c>
      <c r="G517" s="3" t="n">
        <v>9</v>
      </c>
      <c r="H517" s="3" t="n">
        <v>1470681.9</v>
      </c>
      <c r="I517" s="3" t="n">
        <v>2116</v>
      </c>
      <c r="J517" s="3" t="n">
        <v>535461</v>
      </c>
      <c r="K517" s="3" t="n">
        <v>121442</v>
      </c>
      <c r="L517" s="3" t="n">
        <v>0</v>
      </c>
      <c r="M517" s="4" t="n">
        <f aca="false">IFERROR(D517/C517,0)</f>
        <v>0.0830459770114943</v>
      </c>
      <c r="N517" s="4" t="n">
        <f aca="false">IFERROR(E517/C517,0)</f>
        <v>0.394540229885058</v>
      </c>
      <c r="O517" s="5" t="n">
        <f aca="false">IFERROR(F517/MAX(C517-D517,1),0)</f>
        <v>3.03133813851457</v>
      </c>
      <c r="P517" s="5" t="n">
        <f aca="false">IFERROR(F517/C517,0)</f>
        <v>2.77959770114943</v>
      </c>
      <c r="Q517" s="5" t="n">
        <f aca="false">IFERROR(H517/C517,0)</f>
        <v>422.60974137931</v>
      </c>
      <c r="R517" s="4" t="n">
        <f aca="false">IFERROR(I517/F517,0)</f>
        <v>0.218753230641993</v>
      </c>
      <c r="S517" s="4" t="n">
        <f aca="false">IFERROR(K517/J517,0)</f>
        <v>0.226798963883457</v>
      </c>
      <c r="T517" s="6" t="s">
        <v>23</v>
      </c>
    </row>
    <row r="518" customFormat="false" ht="15" hidden="false" customHeight="false" outlineLevel="0" collapsed="false">
      <c r="A518" s="3" t="s">
        <v>551</v>
      </c>
      <c r="B518" s="3" t="s">
        <v>26</v>
      </c>
      <c r="C518" s="3" t="n">
        <v>3621</v>
      </c>
      <c r="D518" s="3" t="n">
        <v>509</v>
      </c>
      <c r="E518" s="3" t="n">
        <v>1465</v>
      </c>
      <c r="F518" s="3" t="n">
        <v>14694</v>
      </c>
      <c r="G518" s="3" t="n">
        <v>15</v>
      </c>
      <c r="H518" s="3" t="n">
        <v>2029308.7</v>
      </c>
      <c r="I518" s="3" t="n">
        <v>2719</v>
      </c>
      <c r="J518" s="3" t="n">
        <v>567293</v>
      </c>
      <c r="K518" s="3" t="n">
        <v>147646</v>
      </c>
      <c r="L518" s="3" t="n">
        <v>1245</v>
      </c>
      <c r="M518" s="4" t="n">
        <f aca="false">IFERROR(D518/C518,0)</f>
        <v>0.140568903617785</v>
      </c>
      <c r="N518" s="4" t="n">
        <f aca="false">IFERROR(E518/C518,0)</f>
        <v>0.404584368958851</v>
      </c>
      <c r="O518" s="5" t="n">
        <f aca="false">IFERROR(F518/MAX(C518-D518,1),0)</f>
        <v>4.72172236503856</v>
      </c>
      <c r="P518" s="5" t="n">
        <f aca="false">IFERROR(F518/C518,0)</f>
        <v>4.05799502899752</v>
      </c>
      <c r="Q518" s="5" t="n">
        <f aca="false">IFERROR(H518/C518,0)</f>
        <v>560.427699530516</v>
      </c>
      <c r="R518" s="4" t="n">
        <f aca="false">IFERROR(I518/F518,0)</f>
        <v>0.185041513542943</v>
      </c>
      <c r="S518" s="4" t="n">
        <f aca="false">IFERROR(K518/J518,0)</f>
        <v>0.260264096331173</v>
      </c>
      <c r="T518" s="6" t="s">
        <v>23</v>
      </c>
    </row>
    <row r="519" customFormat="false" ht="15" hidden="false" customHeight="false" outlineLevel="0" collapsed="false">
      <c r="A519" s="3" t="s">
        <v>552</v>
      </c>
      <c r="B519" s="3" t="s">
        <v>22</v>
      </c>
      <c r="C519" s="3" t="n">
        <v>1080</v>
      </c>
      <c r="D519" s="3" t="n">
        <v>155</v>
      </c>
      <c r="E519" s="3" t="n">
        <v>444</v>
      </c>
      <c r="F519" s="3" t="n">
        <v>4127</v>
      </c>
      <c r="G519" s="3" t="n">
        <v>17</v>
      </c>
      <c r="H519" s="3" t="n">
        <v>652843.1</v>
      </c>
      <c r="I519" s="3" t="n">
        <v>750</v>
      </c>
      <c r="J519" s="3" t="n">
        <v>166957</v>
      </c>
      <c r="K519" s="3" t="n">
        <v>25203</v>
      </c>
      <c r="L519" s="3" t="n">
        <v>530</v>
      </c>
      <c r="M519" s="4" t="n">
        <f aca="false">IFERROR(D519/C519,0)</f>
        <v>0.143518518518519</v>
      </c>
      <c r="N519" s="4" t="n">
        <f aca="false">IFERROR(E519/C519,0)</f>
        <v>0.411111111111111</v>
      </c>
      <c r="O519" s="5" t="n">
        <f aca="false">IFERROR(F519/MAX(C519-D519,1),0)</f>
        <v>4.46162162162162</v>
      </c>
      <c r="P519" s="5" t="n">
        <f aca="false">IFERROR(F519/C519,0)</f>
        <v>3.8212962962963</v>
      </c>
      <c r="Q519" s="5" t="n">
        <f aca="false">IFERROR(H519/C519,0)</f>
        <v>604.484351851852</v>
      </c>
      <c r="R519" s="4" t="n">
        <f aca="false">IFERROR(I519/F519,0)</f>
        <v>0.181730070268961</v>
      </c>
      <c r="S519" s="4" t="n">
        <f aca="false">IFERROR(K519/J519,0)</f>
        <v>0.150955036326719</v>
      </c>
      <c r="T519" s="6" t="s">
        <v>23</v>
      </c>
    </row>
    <row r="520" customFormat="false" ht="15" hidden="false" customHeight="false" outlineLevel="0" collapsed="false">
      <c r="A520" s="3" t="s">
        <v>553</v>
      </c>
      <c r="B520" s="3" t="s">
        <v>26</v>
      </c>
      <c r="C520" s="3" t="n">
        <v>1041</v>
      </c>
      <c r="D520" s="3" t="n">
        <v>76</v>
      </c>
      <c r="E520" s="3" t="n">
        <v>345</v>
      </c>
      <c r="F520" s="3" t="n">
        <v>1648</v>
      </c>
      <c r="G520" s="3" t="n">
        <v>7</v>
      </c>
      <c r="H520" s="3" t="n">
        <v>464291.6</v>
      </c>
      <c r="I520" s="3" t="n">
        <v>142</v>
      </c>
      <c r="J520" s="3" t="n">
        <v>140973</v>
      </c>
      <c r="K520" s="3" t="n">
        <v>24369</v>
      </c>
      <c r="L520" s="3" t="n">
        <v>134</v>
      </c>
      <c r="M520" s="4" t="n">
        <f aca="false">IFERROR(D520/C520,0)</f>
        <v>0.0730067243035543</v>
      </c>
      <c r="N520" s="4" t="n">
        <f aca="false">IFERROR(E520/C520,0)</f>
        <v>0.331412103746398</v>
      </c>
      <c r="O520" s="5" t="n">
        <f aca="false">IFERROR(F520/MAX(C520-D520,1),0)</f>
        <v>1.70777202072539</v>
      </c>
      <c r="P520" s="5" t="n">
        <f aca="false">IFERROR(F520/C520,0)</f>
        <v>1.58309317963497</v>
      </c>
      <c r="Q520" s="5" t="n">
        <f aca="false">IFERROR(H520/C520,0)</f>
        <v>446.005379442843</v>
      </c>
      <c r="R520" s="4" t="n">
        <f aca="false">IFERROR(I520/F520,0)</f>
        <v>0.0861650485436893</v>
      </c>
      <c r="S520" s="4" t="n">
        <f aca="false">IFERROR(K520/J520,0)</f>
        <v>0.17286288863825</v>
      </c>
      <c r="T520" s="6" t="s">
        <v>23</v>
      </c>
    </row>
    <row r="521" customFormat="false" ht="15" hidden="false" customHeight="false" outlineLevel="0" collapsed="false">
      <c r="A521" s="9" t="s">
        <v>554</v>
      </c>
      <c r="B521" s="9" t="s">
        <v>26</v>
      </c>
      <c r="C521" s="9" t="n">
        <v>1186</v>
      </c>
      <c r="D521" s="9" t="n">
        <v>292</v>
      </c>
      <c r="E521" s="9" t="n">
        <v>477</v>
      </c>
      <c r="F521" s="9" t="n">
        <v>7349</v>
      </c>
      <c r="G521" s="9" t="n">
        <v>20</v>
      </c>
      <c r="H521" s="9" t="n">
        <v>589365.1</v>
      </c>
      <c r="I521" s="9" t="n">
        <v>5416</v>
      </c>
      <c r="J521" s="9" t="n">
        <v>142167</v>
      </c>
      <c r="K521" s="9" t="n">
        <v>93204</v>
      </c>
      <c r="L521" s="9" t="n">
        <v>364</v>
      </c>
      <c r="M521" s="10" t="n">
        <f aca="false">IFERROR(D521/C521,0)</f>
        <v>0.246205733558179</v>
      </c>
      <c r="N521" s="10" t="n">
        <f aca="false">IFERROR(E521/C521,0)</f>
        <v>0.402192242833052</v>
      </c>
      <c r="O521" s="11" t="n">
        <f aca="false">IFERROR(F521/MAX(C521-D521,1),0)</f>
        <v>8.22035794183445</v>
      </c>
      <c r="P521" s="11" t="n">
        <f aca="false">IFERROR(F521/C521,0)</f>
        <v>6.1964586846543</v>
      </c>
      <c r="Q521" s="11" t="n">
        <f aca="false">IFERROR(H521/C521,0)</f>
        <v>496.935160202361</v>
      </c>
      <c r="R521" s="10" t="n">
        <f aca="false">IFERROR(I521/F521,0)</f>
        <v>0.736971016464825</v>
      </c>
      <c r="S521" s="10" t="n">
        <f aca="false">IFERROR(K521/J521,0)</f>
        <v>0.655595180316107</v>
      </c>
      <c r="T521" s="12" t="s">
        <v>30</v>
      </c>
    </row>
    <row r="522" customFormat="false" ht="15" hidden="false" customHeight="false" outlineLevel="0" collapsed="false">
      <c r="A522" s="3" t="s">
        <v>555</v>
      </c>
      <c r="B522" s="3" t="s">
        <v>26</v>
      </c>
      <c r="C522" s="3" t="n">
        <v>3515</v>
      </c>
      <c r="D522" s="3" t="n">
        <v>105</v>
      </c>
      <c r="E522" s="3" t="n">
        <v>955</v>
      </c>
      <c r="F522" s="3" t="n">
        <v>5353</v>
      </c>
      <c r="G522" s="3" t="n">
        <v>10</v>
      </c>
      <c r="H522" s="3" t="n">
        <v>1365552.3</v>
      </c>
      <c r="I522" s="3" t="n">
        <v>856</v>
      </c>
      <c r="J522" s="3" t="n">
        <v>522180</v>
      </c>
      <c r="K522" s="3" t="n">
        <v>80234</v>
      </c>
      <c r="L522" s="3" t="n">
        <v>625</v>
      </c>
      <c r="M522" s="4" t="n">
        <f aca="false">IFERROR(D522/C522,0)</f>
        <v>0.0298719772403983</v>
      </c>
      <c r="N522" s="4" t="n">
        <f aca="false">IFERROR(E522/C522,0)</f>
        <v>0.271692745376956</v>
      </c>
      <c r="O522" s="5" t="n">
        <f aca="false">IFERROR(F522/MAX(C522-D522,1),0)</f>
        <v>1.56979472140762</v>
      </c>
      <c r="P522" s="5" t="n">
        <f aca="false">IFERROR(F522/C522,0)</f>
        <v>1.52290184921764</v>
      </c>
      <c r="Q522" s="5" t="n">
        <f aca="false">IFERROR(H522/C522,0)</f>
        <v>388.492830725462</v>
      </c>
      <c r="R522" s="4" t="n">
        <f aca="false">IFERROR(I522/F522,0)</f>
        <v>0.159910330655707</v>
      </c>
      <c r="S522" s="4" t="n">
        <f aca="false">IFERROR(K522/J522,0)</f>
        <v>0.153651997395534</v>
      </c>
      <c r="T522" s="6" t="s">
        <v>23</v>
      </c>
    </row>
    <row r="523" customFormat="false" ht="15" hidden="false" customHeight="false" outlineLevel="0" collapsed="false">
      <c r="A523" s="3" t="s">
        <v>556</v>
      </c>
      <c r="B523" s="3" t="s">
        <v>22</v>
      </c>
      <c r="C523" s="3" t="n">
        <v>2380</v>
      </c>
      <c r="D523" s="3" t="n">
        <v>142</v>
      </c>
      <c r="E523" s="3" t="n">
        <v>615</v>
      </c>
      <c r="F523" s="3" t="n">
        <v>2983</v>
      </c>
      <c r="G523" s="3" t="n">
        <v>8</v>
      </c>
      <c r="H523" s="3" t="n">
        <v>623412.5</v>
      </c>
      <c r="I523" s="3" t="n">
        <v>366</v>
      </c>
      <c r="J523" s="3" t="n">
        <v>401613</v>
      </c>
      <c r="K523" s="3" t="n">
        <v>60167</v>
      </c>
      <c r="L523" s="3" t="n">
        <v>532</v>
      </c>
      <c r="M523" s="4" t="n">
        <f aca="false">IFERROR(D523/C523,0)</f>
        <v>0.0596638655462185</v>
      </c>
      <c r="N523" s="4" t="n">
        <f aca="false">IFERROR(E523/C523,0)</f>
        <v>0.258403361344538</v>
      </c>
      <c r="O523" s="5" t="n">
        <f aca="false">IFERROR(F523/MAX(C523-D523,1),0)</f>
        <v>1.33288650580876</v>
      </c>
      <c r="P523" s="5" t="n">
        <f aca="false">IFERROR(F523/C523,0)</f>
        <v>1.25336134453782</v>
      </c>
      <c r="Q523" s="5" t="n">
        <f aca="false">IFERROR(H523/C523,0)</f>
        <v>261.938025210084</v>
      </c>
      <c r="R523" s="4" t="n">
        <f aca="false">IFERROR(I523/F523,0)</f>
        <v>0.122695273214884</v>
      </c>
      <c r="S523" s="4" t="n">
        <f aca="false">IFERROR(K523/J523,0)</f>
        <v>0.149813377555009</v>
      </c>
      <c r="T523" s="6" t="s">
        <v>23</v>
      </c>
    </row>
    <row r="524" customFormat="false" ht="15" hidden="false" customHeight="false" outlineLevel="0" collapsed="false">
      <c r="A524" s="3" t="s">
        <v>557</v>
      </c>
      <c r="B524" s="3" t="s">
        <v>22</v>
      </c>
      <c r="C524" s="3" t="n">
        <v>675</v>
      </c>
      <c r="D524" s="3" t="n">
        <v>35</v>
      </c>
      <c r="E524" s="3" t="n">
        <v>187</v>
      </c>
      <c r="F524" s="3" t="n">
        <v>1152</v>
      </c>
      <c r="G524" s="3" t="n">
        <v>6</v>
      </c>
      <c r="H524" s="3" t="n">
        <v>239105</v>
      </c>
      <c r="I524" s="3" t="n">
        <v>100</v>
      </c>
      <c r="J524" s="3" t="n">
        <v>100958</v>
      </c>
      <c r="K524" s="3" t="n">
        <v>14993</v>
      </c>
      <c r="L524" s="3" t="n">
        <v>68</v>
      </c>
      <c r="M524" s="4" t="n">
        <f aca="false">IFERROR(D524/C524,0)</f>
        <v>0.0518518518518519</v>
      </c>
      <c r="N524" s="4" t="n">
        <f aca="false">IFERROR(E524/C524,0)</f>
        <v>0.277037037037037</v>
      </c>
      <c r="O524" s="5" t="n">
        <f aca="false">IFERROR(F524/MAX(C524-D524,1),0)</f>
        <v>1.8</v>
      </c>
      <c r="P524" s="5" t="n">
        <f aca="false">IFERROR(F524/C524,0)</f>
        <v>1.70666666666667</v>
      </c>
      <c r="Q524" s="5" t="n">
        <f aca="false">IFERROR(H524/C524,0)</f>
        <v>354.22962962963</v>
      </c>
      <c r="R524" s="4" t="n">
        <f aca="false">IFERROR(I524/F524,0)</f>
        <v>0.0868055555555556</v>
      </c>
      <c r="S524" s="4" t="n">
        <f aca="false">IFERROR(K524/J524,0)</f>
        <v>0.148507300065374</v>
      </c>
      <c r="T524" s="6" t="s">
        <v>23</v>
      </c>
    </row>
    <row r="525" customFormat="false" ht="15" hidden="false" customHeight="false" outlineLevel="0" collapsed="false">
      <c r="A525" s="3" t="s">
        <v>558</v>
      </c>
      <c r="B525" s="3" t="s">
        <v>26</v>
      </c>
      <c r="C525" s="3" t="n">
        <v>3039</v>
      </c>
      <c r="D525" s="3" t="n">
        <v>267</v>
      </c>
      <c r="E525" s="3" t="n">
        <v>1065</v>
      </c>
      <c r="F525" s="3" t="n">
        <v>7404</v>
      </c>
      <c r="G525" s="3" t="n">
        <v>13</v>
      </c>
      <c r="H525" s="3" t="n">
        <v>1386943.4</v>
      </c>
      <c r="I525" s="3" t="n">
        <v>1255</v>
      </c>
      <c r="J525" s="3" t="n">
        <v>407635</v>
      </c>
      <c r="K525" s="3" t="n">
        <v>90993</v>
      </c>
      <c r="L525" s="3" t="n">
        <v>1083</v>
      </c>
      <c r="M525" s="4" t="n">
        <f aca="false">IFERROR(D525/C525,0)</f>
        <v>0.087857847976308</v>
      </c>
      <c r="N525" s="4" t="n">
        <f aca="false">IFERROR(E525/C525,0)</f>
        <v>0.350444225074038</v>
      </c>
      <c r="O525" s="5" t="n">
        <f aca="false">IFERROR(F525/MAX(C525-D525,1),0)</f>
        <v>2.67099567099567</v>
      </c>
      <c r="P525" s="5" t="n">
        <f aca="false">IFERROR(F525/C525,0)</f>
        <v>2.43632773938796</v>
      </c>
      <c r="Q525" s="5" t="n">
        <f aca="false">IFERROR(H525/C525,0)</f>
        <v>456.381507074696</v>
      </c>
      <c r="R525" s="4" t="n">
        <f aca="false">IFERROR(I525/F525,0)</f>
        <v>0.169502971366829</v>
      </c>
      <c r="S525" s="4" t="n">
        <f aca="false">IFERROR(K525/J525,0)</f>
        <v>0.223221754756093</v>
      </c>
      <c r="T525" s="6" t="s">
        <v>23</v>
      </c>
    </row>
    <row r="526" customFormat="false" ht="15" hidden="false" customHeight="false" outlineLevel="0" collapsed="false">
      <c r="A526" s="3" t="s">
        <v>559</v>
      </c>
      <c r="B526" s="3" t="s">
        <v>29</v>
      </c>
      <c r="C526" s="3" t="n">
        <v>2126</v>
      </c>
      <c r="D526" s="3" t="n">
        <v>164</v>
      </c>
      <c r="E526" s="3" t="n">
        <v>485</v>
      </c>
      <c r="F526" s="3" t="n">
        <v>5862</v>
      </c>
      <c r="G526" s="3" t="n">
        <v>9</v>
      </c>
      <c r="H526" s="3" t="n">
        <v>958170.5</v>
      </c>
      <c r="I526" s="3" t="n">
        <v>1084</v>
      </c>
      <c r="J526" s="3" t="n">
        <v>338292</v>
      </c>
      <c r="K526" s="3" t="n">
        <v>63638</v>
      </c>
      <c r="L526" s="3" t="n">
        <v>0</v>
      </c>
      <c r="M526" s="4" t="n">
        <f aca="false">IFERROR(D526/C526,0)</f>
        <v>0.077140169332079</v>
      </c>
      <c r="N526" s="4" t="n">
        <f aca="false">IFERROR(E526/C526,0)</f>
        <v>0.228127939793039</v>
      </c>
      <c r="O526" s="5" t="n">
        <f aca="false">IFERROR(F526/MAX(C526-D526,1),0)</f>
        <v>2.98776758409786</v>
      </c>
      <c r="P526" s="5" t="n">
        <f aca="false">IFERROR(F526/C526,0)</f>
        <v>2.75729068673565</v>
      </c>
      <c r="Q526" s="5" t="n">
        <f aca="false">IFERROR(H526/C526,0)</f>
        <v>450.691674506115</v>
      </c>
      <c r="R526" s="4" t="n">
        <f aca="false">IFERROR(I526/F526,0)</f>
        <v>0.184919822586148</v>
      </c>
      <c r="S526" s="4" t="n">
        <f aca="false">IFERROR(K526/J526,0)</f>
        <v>0.188115592446762</v>
      </c>
      <c r="T526" s="6" t="s">
        <v>23</v>
      </c>
    </row>
    <row r="527" customFormat="false" ht="15" hidden="false" customHeight="false" outlineLevel="0" collapsed="false">
      <c r="A527" s="3" t="s">
        <v>560</v>
      </c>
      <c r="B527" s="3" t="s">
        <v>29</v>
      </c>
      <c r="C527" s="3" t="n">
        <v>3410</v>
      </c>
      <c r="D527" s="3" t="n">
        <v>381</v>
      </c>
      <c r="E527" s="3" t="n">
        <v>1291</v>
      </c>
      <c r="F527" s="3" t="n">
        <v>10495</v>
      </c>
      <c r="G527" s="3" t="n">
        <v>12</v>
      </c>
      <c r="H527" s="3" t="n">
        <v>1801259.5</v>
      </c>
      <c r="I527" s="3" t="n">
        <v>1866</v>
      </c>
      <c r="J527" s="3" t="n">
        <v>624170</v>
      </c>
      <c r="K527" s="3" t="n">
        <v>124412</v>
      </c>
      <c r="L527" s="3" t="n">
        <v>0</v>
      </c>
      <c r="M527" s="4" t="n">
        <f aca="false">IFERROR(D527/C527,0)</f>
        <v>0.111730205278592</v>
      </c>
      <c r="N527" s="4" t="n">
        <f aca="false">IFERROR(E527/C527,0)</f>
        <v>0.378592375366569</v>
      </c>
      <c r="O527" s="5" t="n">
        <f aca="false">IFERROR(F527/MAX(C527-D527,1),0)</f>
        <v>3.46483988114889</v>
      </c>
      <c r="P527" s="5" t="n">
        <f aca="false">IFERROR(F527/C527,0)</f>
        <v>3.07771260997067</v>
      </c>
      <c r="Q527" s="5" t="n">
        <f aca="false">IFERROR(H527/C527,0)</f>
        <v>528.228592375367</v>
      </c>
      <c r="R527" s="4" t="n">
        <f aca="false">IFERROR(I527/F527,0)</f>
        <v>0.177798951881849</v>
      </c>
      <c r="S527" s="4" t="n">
        <f aca="false">IFERROR(K527/J527,0)</f>
        <v>0.199323902142045</v>
      </c>
      <c r="T527" s="6" t="s">
        <v>23</v>
      </c>
    </row>
    <row r="528" customFormat="false" ht="15" hidden="false" customHeight="false" outlineLevel="0" collapsed="false">
      <c r="A528" s="9" t="s">
        <v>561</v>
      </c>
      <c r="B528" s="9" t="s">
        <v>22</v>
      </c>
      <c r="C528" s="9" t="n">
        <v>3091</v>
      </c>
      <c r="D528" s="9" t="n">
        <v>190</v>
      </c>
      <c r="E528" s="9" t="n">
        <v>1170</v>
      </c>
      <c r="F528" s="9" t="n">
        <v>17083</v>
      </c>
      <c r="G528" s="9" t="n">
        <v>19</v>
      </c>
      <c r="H528" s="9" t="n">
        <v>2754030.3</v>
      </c>
      <c r="I528" s="9" t="n">
        <v>6930</v>
      </c>
      <c r="J528" s="9" t="n">
        <v>502389</v>
      </c>
      <c r="K528" s="9" t="n">
        <v>333204</v>
      </c>
      <c r="L528" s="9" t="n">
        <v>641</v>
      </c>
      <c r="M528" s="10" t="n">
        <f aca="false">IFERROR(D528/C528,0)</f>
        <v>0.0614687803299903</v>
      </c>
      <c r="N528" s="10" t="n">
        <f aca="false">IFERROR(E528/C528,0)</f>
        <v>0.378518278874151</v>
      </c>
      <c r="O528" s="11" t="n">
        <f aca="false">IFERROR(F528/MAX(C528-D528,1),0)</f>
        <v>5.8886590830748</v>
      </c>
      <c r="P528" s="11" t="n">
        <f aca="false">IFERROR(F528/C528,0)</f>
        <v>5.52669039145907</v>
      </c>
      <c r="Q528" s="11" t="n">
        <f aca="false">IFERROR(H528/C528,0)</f>
        <v>890.983597541249</v>
      </c>
      <c r="R528" s="10" t="n">
        <f aca="false">IFERROR(I528/F528,0)</f>
        <v>0.405666452028332</v>
      </c>
      <c r="S528" s="10" t="n">
        <f aca="false">IFERROR(K528/J528,0)</f>
        <v>0.663239043848492</v>
      </c>
      <c r="T528" s="12" t="s">
        <v>30</v>
      </c>
    </row>
    <row r="529" customFormat="false" ht="15" hidden="false" customHeight="false" outlineLevel="0" collapsed="false">
      <c r="A529" s="3" t="s">
        <v>562</v>
      </c>
      <c r="B529" s="3" t="s">
        <v>29</v>
      </c>
      <c r="C529" s="3" t="n">
        <v>3184</v>
      </c>
      <c r="D529" s="3" t="n">
        <v>511</v>
      </c>
      <c r="E529" s="3" t="n">
        <v>1429</v>
      </c>
      <c r="F529" s="3" t="n">
        <v>13175</v>
      </c>
      <c r="G529" s="3" t="n">
        <v>18</v>
      </c>
      <c r="H529" s="3" t="n">
        <v>1466995.3</v>
      </c>
      <c r="I529" s="3" t="n">
        <v>2703</v>
      </c>
      <c r="J529" s="3" t="n">
        <v>589938</v>
      </c>
      <c r="K529" s="3" t="n">
        <v>143966</v>
      </c>
      <c r="L529" s="3" t="n">
        <v>0</v>
      </c>
      <c r="M529" s="4" t="n">
        <f aca="false">IFERROR(D529/C529,0)</f>
        <v>0.160489949748744</v>
      </c>
      <c r="N529" s="4" t="n">
        <f aca="false">IFERROR(E529/C529,0)</f>
        <v>0.448806532663317</v>
      </c>
      <c r="O529" s="5" t="n">
        <f aca="false">IFERROR(F529/MAX(C529-D529,1),0)</f>
        <v>4.92891881780771</v>
      </c>
      <c r="P529" s="5" t="n">
        <f aca="false">IFERROR(F529/C529,0)</f>
        <v>4.13787688442211</v>
      </c>
      <c r="Q529" s="5" t="n">
        <f aca="false">IFERROR(H529/C529,0)</f>
        <v>460.739729899498</v>
      </c>
      <c r="R529" s="4" t="n">
        <f aca="false">IFERROR(I529/F529,0)</f>
        <v>0.205161290322581</v>
      </c>
      <c r="S529" s="4" t="n">
        <f aca="false">IFERROR(K529/J529,0)</f>
        <v>0.24403581393299</v>
      </c>
      <c r="T529" s="6" t="s">
        <v>23</v>
      </c>
    </row>
    <row r="530" customFormat="false" ht="15" hidden="false" customHeight="false" outlineLevel="0" collapsed="false">
      <c r="A530" s="3" t="s">
        <v>563</v>
      </c>
      <c r="B530" s="3" t="s">
        <v>26</v>
      </c>
      <c r="C530" s="3" t="n">
        <v>1599</v>
      </c>
      <c r="D530" s="3" t="n">
        <v>114</v>
      </c>
      <c r="E530" s="3" t="n">
        <v>363</v>
      </c>
      <c r="F530" s="3" t="n">
        <v>3408</v>
      </c>
      <c r="G530" s="3" t="n">
        <v>9</v>
      </c>
      <c r="H530" s="3" t="n">
        <v>748605.5</v>
      </c>
      <c r="I530" s="3" t="n">
        <v>624</v>
      </c>
      <c r="J530" s="3" t="n">
        <v>298067</v>
      </c>
      <c r="K530" s="3" t="n">
        <v>64333</v>
      </c>
      <c r="L530" s="3" t="n">
        <v>240</v>
      </c>
      <c r="M530" s="4" t="n">
        <f aca="false">IFERROR(D530/C530,0)</f>
        <v>0.0712945590994372</v>
      </c>
      <c r="N530" s="4" t="n">
        <f aca="false">IFERROR(E530/C530,0)</f>
        <v>0.227016885553471</v>
      </c>
      <c r="O530" s="5" t="n">
        <f aca="false">IFERROR(F530/MAX(C530-D530,1),0)</f>
        <v>2.2949494949495</v>
      </c>
      <c r="P530" s="5" t="n">
        <f aca="false">IFERROR(F530/C530,0)</f>
        <v>2.1313320825516</v>
      </c>
      <c r="Q530" s="5" t="n">
        <f aca="false">IFERROR(H530/C530,0)</f>
        <v>468.171044402752</v>
      </c>
      <c r="R530" s="4" t="n">
        <f aca="false">IFERROR(I530/F530,0)</f>
        <v>0.183098591549296</v>
      </c>
      <c r="S530" s="4" t="n">
        <f aca="false">IFERROR(K530/J530,0)</f>
        <v>0.215834023893957</v>
      </c>
      <c r="T530" s="6" t="s">
        <v>23</v>
      </c>
    </row>
    <row r="531" customFormat="false" ht="15" hidden="false" customHeight="false" outlineLevel="0" collapsed="false">
      <c r="A531" s="3" t="s">
        <v>564</v>
      </c>
      <c r="B531" s="3" t="s">
        <v>29</v>
      </c>
      <c r="C531" s="3" t="n">
        <v>3883</v>
      </c>
      <c r="D531" s="3" t="n">
        <v>498</v>
      </c>
      <c r="E531" s="3" t="n">
        <v>1332</v>
      </c>
      <c r="F531" s="3" t="n">
        <v>11154</v>
      </c>
      <c r="G531" s="3" t="n">
        <v>10</v>
      </c>
      <c r="H531" s="3" t="n">
        <v>1834649.1</v>
      </c>
      <c r="I531" s="3" t="n">
        <v>1729</v>
      </c>
      <c r="J531" s="3" t="n">
        <v>632883</v>
      </c>
      <c r="K531" s="3" t="n">
        <v>100000</v>
      </c>
      <c r="L531" s="3" t="n">
        <v>0</v>
      </c>
      <c r="M531" s="4" t="n">
        <f aca="false">IFERROR(D531/C531,0)</f>
        <v>0.128251352047386</v>
      </c>
      <c r="N531" s="4" t="n">
        <f aca="false">IFERROR(E531/C531,0)</f>
        <v>0.343033736801442</v>
      </c>
      <c r="O531" s="5" t="n">
        <f aca="false">IFERROR(F531/MAX(C531-D531,1),0)</f>
        <v>3.29512555391433</v>
      </c>
      <c r="P531" s="5" t="n">
        <f aca="false">IFERROR(F531/C531,0)</f>
        <v>2.87252124645892</v>
      </c>
      <c r="Q531" s="5" t="n">
        <f aca="false">IFERROR(H531/C531,0)</f>
        <v>472.482384754056</v>
      </c>
      <c r="R531" s="4" t="n">
        <f aca="false">IFERROR(I531/F531,0)</f>
        <v>0.155011655011655</v>
      </c>
      <c r="S531" s="4" t="n">
        <f aca="false">IFERROR(K531/J531,0)</f>
        <v>0.158007088197977</v>
      </c>
      <c r="T531" s="6" t="s">
        <v>23</v>
      </c>
    </row>
    <row r="532" customFormat="false" ht="15" hidden="false" customHeight="false" outlineLevel="0" collapsed="false">
      <c r="A532" s="3" t="s">
        <v>565</v>
      </c>
      <c r="B532" s="3" t="s">
        <v>22</v>
      </c>
      <c r="C532" s="3" t="n">
        <v>1455</v>
      </c>
      <c r="D532" s="3" t="n">
        <v>68</v>
      </c>
      <c r="E532" s="3" t="n">
        <v>559</v>
      </c>
      <c r="F532" s="3" t="n">
        <v>3623</v>
      </c>
      <c r="G532" s="3" t="n">
        <v>10</v>
      </c>
      <c r="H532" s="3" t="n">
        <v>747137.4</v>
      </c>
      <c r="I532" s="3" t="n">
        <v>670</v>
      </c>
      <c r="J532" s="3" t="n">
        <v>133307</v>
      </c>
      <c r="K532" s="3" t="n">
        <v>14928</v>
      </c>
      <c r="L532" s="3" t="n">
        <v>265</v>
      </c>
      <c r="M532" s="4" t="n">
        <f aca="false">IFERROR(D532/C532,0)</f>
        <v>0.0467353951890034</v>
      </c>
      <c r="N532" s="4" t="n">
        <f aca="false">IFERROR(E532/C532,0)</f>
        <v>0.384192439862543</v>
      </c>
      <c r="O532" s="5" t="n">
        <f aca="false">IFERROR(F532/MAX(C532-D532,1),0)</f>
        <v>2.61211247296323</v>
      </c>
      <c r="P532" s="5" t="n">
        <f aca="false">IFERROR(F532/C532,0)</f>
        <v>2.49003436426117</v>
      </c>
      <c r="Q532" s="5" t="n">
        <f aca="false">IFERROR(H532/C532,0)</f>
        <v>513.496494845361</v>
      </c>
      <c r="R532" s="4" t="n">
        <f aca="false">IFERROR(I532/F532,0)</f>
        <v>0.18492961634005</v>
      </c>
      <c r="S532" s="4" t="n">
        <f aca="false">IFERROR(K532/J532,0)</f>
        <v>0.111982116468002</v>
      </c>
      <c r="T532" s="6" t="s">
        <v>23</v>
      </c>
    </row>
    <row r="533" customFormat="false" ht="15" hidden="false" customHeight="false" outlineLevel="0" collapsed="false">
      <c r="A533" s="9" t="s">
        <v>566</v>
      </c>
      <c r="B533" s="9" t="s">
        <v>29</v>
      </c>
      <c r="C533" s="9" t="n">
        <v>2958</v>
      </c>
      <c r="D533" s="9" t="n">
        <v>591</v>
      </c>
      <c r="E533" s="9" t="n">
        <v>1458</v>
      </c>
      <c r="F533" s="9" t="n">
        <v>25703</v>
      </c>
      <c r="G533" s="9" t="n">
        <v>28</v>
      </c>
      <c r="H533" s="9" t="n">
        <v>2656585.1</v>
      </c>
      <c r="I533" s="9" t="n">
        <v>11482</v>
      </c>
      <c r="J533" s="9" t="n">
        <v>488416</v>
      </c>
      <c r="K533" s="9" t="n">
        <v>347074</v>
      </c>
      <c r="L533" s="9" t="n">
        <v>0</v>
      </c>
      <c r="M533" s="10" t="n">
        <f aca="false">IFERROR(D533/C533,0)</f>
        <v>0.199797160243408</v>
      </c>
      <c r="N533" s="10" t="n">
        <f aca="false">IFERROR(E533/C533,0)</f>
        <v>0.49290060851927</v>
      </c>
      <c r="O533" s="11" t="n">
        <f aca="false">IFERROR(F533/MAX(C533-D533,1),0)</f>
        <v>10.858893113646</v>
      </c>
      <c r="P533" s="11" t="n">
        <f aca="false">IFERROR(F533/C533,0)</f>
        <v>8.68931710615281</v>
      </c>
      <c r="Q533" s="11" t="n">
        <f aca="false">IFERROR(H533/C533,0)</f>
        <v>898.101791751183</v>
      </c>
      <c r="R533" s="10" t="n">
        <f aca="false">IFERROR(I533/F533,0)</f>
        <v>0.446718281912617</v>
      </c>
      <c r="S533" s="10" t="n">
        <f aca="false">IFERROR(K533/J533,0)</f>
        <v>0.710611445980476</v>
      </c>
      <c r="T533" s="12" t="s">
        <v>30</v>
      </c>
    </row>
    <row r="534" customFormat="false" ht="15" hidden="false" customHeight="false" outlineLevel="0" collapsed="false">
      <c r="A534" s="3" t="s">
        <v>567</v>
      </c>
      <c r="B534" s="3" t="s">
        <v>22</v>
      </c>
      <c r="C534" s="3" t="n">
        <v>3562</v>
      </c>
      <c r="D534" s="3" t="n">
        <v>288</v>
      </c>
      <c r="E534" s="3" t="n">
        <v>874</v>
      </c>
      <c r="F534" s="3" t="n">
        <v>8607</v>
      </c>
      <c r="G534" s="3" t="n">
        <v>15</v>
      </c>
      <c r="H534" s="3" t="n">
        <v>1401377.4</v>
      </c>
      <c r="I534" s="3" t="n">
        <v>1262</v>
      </c>
      <c r="J534" s="3" t="n">
        <v>420800</v>
      </c>
      <c r="K534" s="3" t="n">
        <v>88824</v>
      </c>
      <c r="L534" s="3" t="n">
        <v>888</v>
      </c>
      <c r="M534" s="4" t="n">
        <f aca="false">IFERROR(D534/C534,0)</f>
        <v>0.0808534531162268</v>
      </c>
      <c r="N534" s="4" t="n">
        <f aca="false">IFERROR(E534/C534,0)</f>
        <v>0.245367770915216</v>
      </c>
      <c r="O534" s="5" t="n">
        <f aca="false">IFERROR(F534/MAX(C534-D534,1),0)</f>
        <v>2.62889431887599</v>
      </c>
      <c r="P534" s="5" t="n">
        <f aca="false">IFERROR(F534/C534,0)</f>
        <v>2.41633913531724</v>
      </c>
      <c r="Q534" s="5" t="n">
        <f aca="false">IFERROR(H534/C534,0)</f>
        <v>393.424312184166</v>
      </c>
      <c r="R534" s="4" t="n">
        <f aca="false">IFERROR(I534/F534,0)</f>
        <v>0.146624840246311</v>
      </c>
      <c r="S534" s="4" t="n">
        <f aca="false">IFERROR(K534/J534,0)</f>
        <v>0.211083650190114</v>
      </c>
      <c r="T534" s="6" t="s">
        <v>23</v>
      </c>
    </row>
    <row r="535" customFormat="false" ht="15" hidden="false" customHeight="false" outlineLevel="0" collapsed="false">
      <c r="A535" s="3" t="s">
        <v>568</v>
      </c>
      <c r="B535" s="3" t="s">
        <v>29</v>
      </c>
      <c r="C535" s="3" t="n">
        <v>2809</v>
      </c>
      <c r="D535" s="3" t="n">
        <v>90</v>
      </c>
      <c r="E535" s="3" t="n">
        <v>562</v>
      </c>
      <c r="F535" s="3" t="n">
        <v>4612</v>
      </c>
      <c r="G535" s="3" t="n">
        <v>6</v>
      </c>
      <c r="H535" s="3" t="n">
        <v>840996.1</v>
      </c>
      <c r="I535" s="3" t="n">
        <v>720</v>
      </c>
      <c r="J535" s="3" t="n">
        <v>352947</v>
      </c>
      <c r="K535" s="3" t="n">
        <v>71287</v>
      </c>
      <c r="L535" s="3" t="n">
        <v>0</v>
      </c>
      <c r="M535" s="4" t="n">
        <f aca="false">IFERROR(D535/C535,0)</f>
        <v>0.0320398718405126</v>
      </c>
      <c r="N535" s="4" t="n">
        <f aca="false">IFERROR(E535/C535,0)</f>
        <v>0.200071199715201</v>
      </c>
      <c r="O535" s="5" t="n">
        <f aca="false">IFERROR(F535/MAX(C535-D535,1),0)</f>
        <v>1.69621184258919</v>
      </c>
      <c r="P535" s="5" t="n">
        <f aca="false">IFERROR(F535/C535,0)</f>
        <v>1.64186543253827</v>
      </c>
      <c r="Q535" s="5" t="n">
        <f aca="false">IFERROR(H535/C535,0)</f>
        <v>299.393414026344</v>
      </c>
      <c r="R535" s="4" t="n">
        <f aca="false">IFERROR(I535/F535,0)</f>
        <v>0.1561144839549</v>
      </c>
      <c r="S535" s="4" t="n">
        <f aca="false">IFERROR(K535/J535,0)</f>
        <v>0.201976500721071</v>
      </c>
      <c r="T535" s="6" t="s">
        <v>23</v>
      </c>
    </row>
    <row r="536" customFormat="false" ht="15" hidden="false" customHeight="false" outlineLevel="0" collapsed="false">
      <c r="A536" s="9" t="s">
        <v>569</v>
      </c>
      <c r="B536" s="9" t="s">
        <v>29</v>
      </c>
      <c r="C536" s="9" t="n">
        <v>3541</v>
      </c>
      <c r="D536" s="9" t="n">
        <v>690</v>
      </c>
      <c r="E536" s="9" t="n">
        <v>1888</v>
      </c>
      <c r="F536" s="9" t="n">
        <v>23407</v>
      </c>
      <c r="G536" s="9" t="n">
        <v>23</v>
      </c>
      <c r="H536" s="9" t="n">
        <v>2759721.1</v>
      </c>
      <c r="I536" s="9" t="n">
        <v>15845</v>
      </c>
      <c r="J536" s="9" t="n">
        <v>475273</v>
      </c>
      <c r="K536" s="9" t="n">
        <v>403565</v>
      </c>
      <c r="L536" s="9" t="n">
        <v>0</v>
      </c>
      <c r="M536" s="10" t="n">
        <f aca="false">IFERROR(D536/C536,0)</f>
        <v>0.194860208980514</v>
      </c>
      <c r="N536" s="10" t="n">
        <f aca="false">IFERROR(E536/C536,0)</f>
        <v>0.533182716746682</v>
      </c>
      <c r="O536" s="11" t="n">
        <f aca="false">IFERROR(F536/MAX(C536-D536,1),0)</f>
        <v>8.21010171869519</v>
      </c>
      <c r="P536" s="11" t="n">
        <f aca="false">IFERROR(F536/C536,0)</f>
        <v>6.61027958203897</v>
      </c>
      <c r="Q536" s="11" t="n">
        <f aca="false">IFERROR(H536/C536,0)</f>
        <v>779.362072860774</v>
      </c>
      <c r="R536" s="10" t="n">
        <f aca="false">IFERROR(I536/F536,0)</f>
        <v>0.676934250437903</v>
      </c>
      <c r="S536" s="10" t="n">
        <f aca="false">IFERROR(K536/J536,0)</f>
        <v>0.849122504329091</v>
      </c>
      <c r="T536" s="12" t="s">
        <v>30</v>
      </c>
    </row>
    <row r="537" customFormat="false" ht="15" hidden="false" customHeight="false" outlineLevel="0" collapsed="false">
      <c r="A537" s="3" t="s">
        <v>570</v>
      </c>
      <c r="B537" s="3" t="s">
        <v>29</v>
      </c>
      <c r="C537" s="3" t="n">
        <v>2230</v>
      </c>
      <c r="D537" s="3" t="n">
        <v>343</v>
      </c>
      <c r="E537" s="3" t="n">
        <v>1067</v>
      </c>
      <c r="F537" s="3" t="n">
        <v>8145</v>
      </c>
      <c r="G537" s="3" t="n">
        <v>9</v>
      </c>
      <c r="H537" s="3" t="n">
        <v>1412052.7</v>
      </c>
      <c r="I537" s="3" t="n">
        <v>1615</v>
      </c>
      <c r="J537" s="3" t="n">
        <v>319501</v>
      </c>
      <c r="K537" s="3" t="n">
        <v>82312</v>
      </c>
      <c r="L537" s="3" t="n">
        <v>0</v>
      </c>
      <c r="M537" s="4" t="n">
        <f aca="false">IFERROR(D537/C537,0)</f>
        <v>0.153811659192825</v>
      </c>
      <c r="N537" s="4" t="n">
        <f aca="false">IFERROR(E537/C537,0)</f>
        <v>0.47847533632287</v>
      </c>
      <c r="O537" s="5" t="n">
        <f aca="false">IFERROR(F537/MAX(C537-D537,1),0)</f>
        <v>4.31637519872814</v>
      </c>
      <c r="P537" s="5" t="n">
        <f aca="false">IFERROR(F537/C537,0)</f>
        <v>3.652466367713</v>
      </c>
      <c r="Q537" s="5" t="n">
        <f aca="false">IFERROR(H537/C537,0)</f>
        <v>633.207488789238</v>
      </c>
      <c r="R537" s="4" t="n">
        <f aca="false">IFERROR(I537/F537,0)</f>
        <v>0.198281154082259</v>
      </c>
      <c r="S537" s="4" t="n">
        <f aca="false">IFERROR(K537/J537,0)</f>
        <v>0.25762673669253</v>
      </c>
      <c r="T537" s="6" t="s">
        <v>23</v>
      </c>
    </row>
    <row r="538" customFormat="false" ht="15" hidden="false" customHeight="false" outlineLevel="0" collapsed="false">
      <c r="A538" s="3" t="s">
        <v>571</v>
      </c>
      <c r="B538" s="3" t="s">
        <v>22</v>
      </c>
      <c r="C538" s="3" t="n">
        <v>214</v>
      </c>
      <c r="D538" s="3" t="n">
        <v>27</v>
      </c>
      <c r="E538" s="3" t="n">
        <v>85</v>
      </c>
      <c r="F538" s="3" t="n">
        <v>825</v>
      </c>
      <c r="G538" s="3" t="n">
        <v>15</v>
      </c>
      <c r="H538" s="3" t="n">
        <v>117397.5</v>
      </c>
      <c r="I538" s="3" t="n">
        <v>179</v>
      </c>
      <c r="J538" s="3" t="n">
        <v>20268</v>
      </c>
      <c r="K538" s="3" t="n">
        <v>3421</v>
      </c>
      <c r="L538" s="3" t="n">
        <v>36</v>
      </c>
      <c r="M538" s="4" t="n">
        <f aca="false">IFERROR(D538/C538,0)</f>
        <v>0.126168224299065</v>
      </c>
      <c r="N538" s="4" t="n">
        <f aca="false">IFERROR(E538/C538,0)</f>
        <v>0.397196261682243</v>
      </c>
      <c r="O538" s="5" t="n">
        <f aca="false">IFERROR(F538/MAX(C538-D538,1),0)</f>
        <v>4.41176470588235</v>
      </c>
      <c r="P538" s="5" t="n">
        <f aca="false">IFERROR(F538/C538,0)</f>
        <v>3.85514018691589</v>
      </c>
      <c r="Q538" s="5" t="n">
        <f aca="false">IFERROR(H538/C538,0)</f>
        <v>548.586448598131</v>
      </c>
      <c r="R538" s="4" t="n">
        <f aca="false">IFERROR(I538/F538,0)</f>
        <v>0.216969696969697</v>
      </c>
      <c r="S538" s="4" t="n">
        <f aca="false">IFERROR(K538/J538,0)</f>
        <v>0.168788237615946</v>
      </c>
      <c r="T538" s="6" t="s">
        <v>23</v>
      </c>
    </row>
    <row r="539" customFormat="false" ht="15" hidden="false" customHeight="false" outlineLevel="0" collapsed="false">
      <c r="A539" s="3" t="s">
        <v>572</v>
      </c>
      <c r="B539" s="3" t="s">
        <v>29</v>
      </c>
      <c r="C539" s="3" t="n">
        <v>776</v>
      </c>
      <c r="D539" s="3" t="n">
        <v>50</v>
      </c>
      <c r="E539" s="3" t="n">
        <v>286</v>
      </c>
      <c r="F539" s="3" t="n">
        <v>1255</v>
      </c>
      <c r="G539" s="3" t="n">
        <v>4</v>
      </c>
      <c r="H539" s="3" t="n">
        <v>120952.8</v>
      </c>
      <c r="I539" s="3" t="n">
        <v>105</v>
      </c>
      <c r="J539" s="3" t="n">
        <v>101924</v>
      </c>
      <c r="K539" s="3" t="n">
        <v>17071</v>
      </c>
      <c r="L539" s="3" t="n">
        <v>0</v>
      </c>
      <c r="M539" s="4" t="n">
        <f aca="false">IFERROR(D539/C539,0)</f>
        <v>0.0644329896907216</v>
      </c>
      <c r="N539" s="4" t="n">
        <f aca="false">IFERROR(E539/C539,0)</f>
        <v>0.368556701030928</v>
      </c>
      <c r="O539" s="5" t="n">
        <f aca="false">IFERROR(F539/MAX(C539-D539,1),0)</f>
        <v>1.72865013774105</v>
      </c>
      <c r="P539" s="5" t="n">
        <f aca="false">IFERROR(F539/C539,0)</f>
        <v>1.61726804123711</v>
      </c>
      <c r="Q539" s="5" t="n">
        <f aca="false">IFERROR(H539/C539,0)</f>
        <v>155.867010309278</v>
      </c>
      <c r="R539" s="4" t="n">
        <f aca="false">IFERROR(I539/F539,0)</f>
        <v>0.0836653386454183</v>
      </c>
      <c r="S539" s="4" t="n">
        <f aca="false">IFERROR(K539/J539,0)</f>
        <v>0.167487539735489</v>
      </c>
      <c r="T539" s="6" t="s">
        <v>23</v>
      </c>
    </row>
    <row r="540" customFormat="false" ht="15" hidden="false" customHeight="false" outlineLevel="0" collapsed="false">
      <c r="A540" s="3" t="s">
        <v>573</v>
      </c>
      <c r="B540" s="3" t="s">
        <v>22</v>
      </c>
      <c r="C540" s="3" t="n">
        <v>1882</v>
      </c>
      <c r="D540" s="3" t="n">
        <v>249</v>
      </c>
      <c r="E540" s="3" t="n">
        <v>586</v>
      </c>
      <c r="F540" s="3" t="n">
        <v>6560</v>
      </c>
      <c r="G540" s="3" t="n">
        <v>15</v>
      </c>
      <c r="H540" s="3" t="n">
        <v>989103.4</v>
      </c>
      <c r="I540" s="3" t="n">
        <v>1082</v>
      </c>
      <c r="J540" s="3" t="n">
        <v>305695</v>
      </c>
      <c r="K540" s="3" t="n">
        <v>56225</v>
      </c>
      <c r="L540" s="3" t="n">
        <v>1050</v>
      </c>
      <c r="M540" s="4" t="n">
        <f aca="false">IFERROR(D540/C540,0)</f>
        <v>0.13230605738576</v>
      </c>
      <c r="N540" s="4" t="n">
        <f aca="false">IFERROR(E540/C540,0)</f>
        <v>0.311370882040383</v>
      </c>
      <c r="O540" s="5" t="n">
        <f aca="false">IFERROR(F540/MAX(C540-D540,1),0)</f>
        <v>4.01714635639927</v>
      </c>
      <c r="P540" s="5" t="n">
        <f aca="false">IFERROR(F540/C540,0)</f>
        <v>3.48565356004251</v>
      </c>
      <c r="Q540" s="5" t="n">
        <f aca="false">IFERROR(H540/C540,0)</f>
        <v>525.559723698194</v>
      </c>
      <c r="R540" s="4" t="n">
        <f aca="false">IFERROR(I540/F540,0)</f>
        <v>0.164939024390244</v>
      </c>
      <c r="S540" s="4" t="n">
        <f aca="false">IFERROR(K540/J540,0)</f>
        <v>0.183925154156921</v>
      </c>
      <c r="T540" s="6" t="s">
        <v>23</v>
      </c>
    </row>
    <row r="541" customFormat="false" ht="15" hidden="false" customHeight="false" outlineLevel="0" collapsed="false">
      <c r="A541" s="3" t="s">
        <v>574</v>
      </c>
      <c r="B541" s="3" t="s">
        <v>29</v>
      </c>
      <c r="C541" s="3" t="n">
        <v>1223</v>
      </c>
      <c r="D541" s="3" t="n">
        <v>117</v>
      </c>
      <c r="E541" s="3" t="n">
        <v>505</v>
      </c>
      <c r="F541" s="3" t="n">
        <v>1203</v>
      </c>
      <c r="G541" s="3" t="n">
        <v>5</v>
      </c>
      <c r="H541" s="3" t="n">
        <v>211749.9</v>
      </c>
      <c r="I541" s="3" t="n">
        <v>118</v>
      </c>
      <c r="J541" s="3" t="n">
        <v>157345</v>
      </c>
      <c r="K541" s="3" t="n">
        <v>32455</v>
      </c>
      <c r="L541" s="3" t="n">
        <v>0</v>
      </c>
      <c r="M541" s="4" t="n">
        <f aca="false">IFERROR(D541/C541,0)</f>
        <v>0.0956663941128373</v>
      </c>
      <c r="N541" s="4" t="n">
        <f aca="false">IFERROR(E541/C541,0)</f>
        <v>0.412919051512674</v>
      </c>
      <c r="O541" s="5" t="n">
        <f aca="false">IFERROR(F541/MAX(C541-D541,1),0)</f>
        <v>1.0877034358047</v>
      </c>
      <c r="P541" s="5" t="n">
        <f aca="false">IFERROR(F541/C541,0)</f>
        <v>0.983646770237122</v>
      </c>
      <c r="Q541" s="5" t="n">
        <f aca="false">IFERROR(H541/C541,0)</f>
        <v>173.139738348324</v>
      </c>
      <c r="R541" s="4" t="n">
        <f aca="false">IFERROR(I541/F541,0)</f>
        <v>0.0980881130507066</v>
      </c>
      <c r="S541" s="4" t="n">
        <f aca="false">IFERROR(K541/J541,0)</f>
        <v>0.206266484476787</v>
      </c>
      <c r="T541" s="6" t="s">
        <v>23</v>
      </c>
    </row>
    <row r="542" customFormat="false" ht="15" hidden="false" customHeight="false" outlineLevel="0" collapsed="false">
      <c r="A542" s="3" t="s">
        <v>575</v>
      </c>
      <c r="B542" s="3" t="s">
        <v>29</v>
      </c>
      <c r="C542" s="3" t="n">
        <v>2237</v>
      </c>
      <c r="D542" s="3" t="n">
        <v>346</v>
      </c>
      <c r="E542" s="3" t="n">
        <v>719</v>
      </c>
      <c r="F542" s="3" t="n">
        <v>8008</v>
      </c>
      <c r="G542" s="3" t="n">
        <v>15</v>
      </c>
      <c r="H542" s="3" t="n">
        <v>1118537.2</v>
      </c>
      <c r="I542" s="3" t="n">
        <v>1954</v>
      </c>
      <c r="J542" s="3" t="n">
        <v>269196</v>
      </c>
      <c r="K542" s="3" t="n">
        <v>69857</v>
      </c>
      <c r="L542" s="3" t="n">
        <v>0</v>
      </c>
      <c r="M542" s="4" t="n">
        <f aca="false">IFERROR(D542/C542,0)</f>
        <v>0.154671434957532</v>
      </c>
      <c r="N542" s="4" t="n">
        <f aca="false">IFERROR(E542/C542,0)</f>
        <v>0.321412606168976</v>
      </c>
      <c r="O542" s="5" t="n">
        <f aca="false">IFERROR(F542/MAX(C542-D542,1),0)</f>
        <v>4.23479640401904</v>
      </c>
      <c r="P542" s="5" t="n">
        <f aca="false">IFERROR(F542/C542,0)</f>
        <v>3.57979436745641</v>
      </c>
      <c r="Q542" s="5" t="n">
        <f aca="false">IFERROR(H542/C542,0)</f>
        <v>500.016629414394</v>
      </c>
      <c r="R542" s="4" t="n">
        <f aca="false">IFERROR(I542/F542,0)</f>
        <v>0.244005994005994</v>
      </c>
      <c r="S542" s="4" t="n">
        <f aca="false">IFERROR(K542/J542,0)</f>
        <v>0.259502370020357</v>
      </c>
      <c r="T542" s="6" t="s">
        <v>23</v>
      </c>
    </row>
    <row r="543" customFormat="false" ht="15" hidden="false" customHeight="false" outlineLevel="0" collapsed="false">
      <c r="A543" s="3" t="s">
        <v>576</v>
      </c>
      <c r="B543" s="3" t="s">
        <v>29</v>
      </c>
      <c r="C543" s="3" t="n">
        <v>975</v>
      </c>
      <c r="D543" s="3" t="n">
        <v>100</v>
      </c>
      <c r="E543" s="3" t="n">
        <v>438</v>
      </c>
      <c r="F543" s="3" t="n">
        <v>3585</v>
      </c>
      <c r="G543" s="3" t="n">
        <v>13</v>
      </c>
      <c r="H543" s="3" t="n">
        <v>529806.6</v>
      </c>
      <c r="I543" s="3" t="n">
        <v>574</v>
      </c>
      <c r="J543" s="3" t="n">
        <v>183384</v>
      </c>
      <c r="K543" s="3" t="n">
        <v>40166</v>
      </c>
      <c r="L543" s="3" t="n">
        <v>0</v>
      </c>
      <c r="M543" s="4" t="n">
        <f aca="false">IFERROR(D543/C543,0)</f>
        <v>0.102564102564103</v>
      </c>
      <c r="N543" s="4" t="n">
        <f aca="false">IFERROR(E543/C543,0)</f>
        <v>0.449230769230769</v>
      </c>
      <c r="O543" s="5" t="n">
        <f aca="false">IFERROR(F543/MAX(C543-D543,1),0)</f>
        <v>4.09714285714286</v>
      </c>
      <c r="P543" s="5" t="n">
        <f aca="false">IFERROR(F543/C543,0)</f>
        <v>3.67692307692308</v>
      </c>
      <c r="Q543" s="5" t="n">
        <f aca="false">IFERROR(H543/C543,0)</f>
        <v>543.391384615385</v>
      </c>
      <c r="R543" s="4" t="n">
        <f aca="false">IFERROR(I543/F543,0)</f>
        <v>0.160111576011158</v>
      </c>
      <c r="S543" s="4" t="n">
        <f aca="false">IFERROR(K543/J543,0)</f>
        <v>0.219026741700476</v>
      </c>
      <c r="T543" s="6" t="s">
        <v>23</v>
      </c>
    </row>
    <row r="544" customFormat="false" ht="15" hidden="false" customHeight="false" outlineLevel="0" collapsed="false">
      <c r="A544" s="3" t="s">
        <v>577</v>
      </c>
      <c r="B544" s="3" t="s">
        <v>22</v>
      </c>
      <c r="C544" s="3" t="n">
        <v>648</v>
      </c>
      <c r="D544" s="3" t="n">
        <v>25</v>
      </c>
      <c r="E544" s="3" t="n">
        <v>213</v>
      </c>
      <c r="F544" s="3" t="n">
        <v>1445</v>
      </c>
      <c r="G544" s="3" t="n">
        <v>8</v>
      </c>
      <c r="H544" s="3" t="n">
        <v>107538.9</v>
      </c>
      <c r="I544" s="3" t="n">
        <v>295</v>
      </c>
      <c r="J544" s="3" t="n">
        <v>103263</v>
      </c>
      <c r="K544" s="3" t="n">
        <v>18757</v>
      </c>
      <c r="L544" s="3" t="n">
        <v>145</v>
      </c>
      <c r="M544" s="4" t="n">
        <f aca="false">IFERROR(D544/C544,0)</f>
        <v>0.0385802469135802</v>
      </c>
      <c r="N544" s="4" t="n">
        <f aca="false">IFERROR(E544/C544,0)</f>
        <v>0.328703703703704</v>
      </c>
      <c r="O544" s="5" t="n">
        <f aca="false">IFERROR(F544/MAX(C544-D544,1),0)</f>
        <v>2.31942215088283</v>
      </c>
      <c r="P544" s="5" t="n">
        <f aca="false">IFERROR(F544/C544,0)</f>
        <v>2.22993827160494</v>
      </c>
      <c r="Q544" s="5" t="n">
        <f aca="false">IFERROR(H544/C544,0)</f>
        <v>165.955092592593</v>
      </c>
      <c r="R544" s="4" t="n">
        <f aca="false">IFERROR(I544/F544,0)</f>
        <v>0.204152249134948</v>
      </c>
      <c r="S544" s="4" t="n">
        <f aca="false">IFERROR(K544/J544,0)</f>
        <v>0.181642989260432</v>
      </c>
      <c r="T544" s="6" t="s">
        <v>23</v>
      </c>
    </row>
    <row r="545" customFormat="false" ht="15" hidden="false" customHeight="false" outlineLevel="0" collapsed="false">
      <c r="A545" s="3" t="s">
        <v>578</v>
      </c>
      <c r="B545" s="3" t="s">
        <v>29</v>
      </c>
      <c r="C545" s="3" t="n">
        <v>2352</v>
      </c>
      <c r="D545" s="3" t="n">
        <v>183</v>
      </c>
      <c r="E545" s="3" t="n">
        <v>764</v>
      </c>
      <c r="F545" s="3" t="n">
        <v>3421</v>
      </c>
      <c r="G545" s="3" t="n">
        <v>9</v>
      </c>
      <c r="H545" s="3" t="n">
        <v>1077520.6</v>
      </c>
      <c r="I545" s="3" t="n">
        <v>570</v>
      </c>
      <c r="J545" s="3" t="n">
        <v>273642</v>
      </c>
      <c r="K545" s="3" t="n">
        <v>54293</v>
      </c>
      <c r="L545" s="3" t="n">
        <v>0</v>
      </c>
      <c r="M545" s="4" t="n">
        <f aca="false">IFERROR(D545/C545,0)</f>
        <v>0.0778061224489796</v>
      </c>
      <c r="N545" s="4" t="n">
        <f aca="false">IFERROR(E545/C545,0)</f>
        <v>0.324829931972789</v>
      </c>
      <c r="O545" s="5" t="n">
        <f aca="false">IFERROR(F545/MAX(C545-D545,1),0)</f>
        <v>1.577224527432</v>
      </c>
      <c r="P545" s="5" t="n">
        <f aca="false">IFERROR(F545/C545,0)</f>
        <v>1.45450680272109</v>
      </c>
      <c r="Q545" s="5" t="n">
        <f aca="false">IFERROR(H545/C545,0)</f>
        <v>458.129506802721</v>
      </c>
      <c r="R545" s="4" t="n">
        <f aca="false">IFERROR(I545/F545,0)</f>
        <v>0.16661794796843</v>
      </c>
      <c r="S545" s="4" t="n">
        <f aca="false">IFERROR(K545/J545,0)</f>
        <v>0.198408869983409</v>
      </c>
      <c r="T545" s="6" t="s">
        <v>23</v>
      </c>
    </row>
    <row r="546" customFormat="false" ht="15" hidden="false" customHeight="false" outlineLevel="0" collapsed="false">
      <c r="A546" s="3" t="s">
        <v>579</v>
      </c>
      <c r="B546" s="3" t="s">
        <v>29</v>
      </c>
      <c r="C546" s="3" t="n">
        <v>3758</v>
      </c>
      <c r="D546" s="3" t="n">
        <v>260</v>
      </c>
      <c r="E546" s="3" t="n">
        <v>1551</v>
      </c>
      <c r="F546" s="3" t="n">
        <v>3926</v>
      </c>
      <c r="G546" s="3" t="n">
        <v>3</v>
      </c>
      <c r="H546" s="3" t="n">
        <v>1048876.7</v>
      </c>
      <c r="I546" s="3" t="n">
        <v>501</v>
      </c>
      <c r="J546" s="3" t="n">
        <v>702403</v>
      </c>
      <c r="K546" s="3" t="n">
        <v>129920</v>
      </c>
      <c r="L546" s="3" t="n">
        <v>0</v>
      </c>
      <c r="M546" s="4" t="n">
        <f aca="false">IFERROR(D546/C546,0)</f>
        <v>0.0691857370941991</v>
      </c>
      <c r="N546" s="4" t="n">
        <f aca="false">IFERROR(E546/C546,0)</f>
        <v>0.41271953166578</v>
      </c>
      <c r="O546" s="5" t="n">
        <f aca="false">IFERROR(F546/MAX(C546-D546,1),0)</f>
        <v>1.12235563178959</v>
      </c>
      <c r="P546" s="5" t="n">
        <f aca="false">IFERROR(F546/C546,0)</f>
        <v>1.04470463012241</v>
      </c>
      <c r="Q546" s="5" t="n">
        <f aca="false">IFERROR(H546/C546,0)</f>
        <v>279.105029270889</v>
      </c>
      <c r="R546" s="4" t="n">
        <f aca="false">IFERROR(I546/F546,0)</f>
        <v>0.12761079979623</v>
      </c>
      <c r="S546" s="4" t="n">
        <f aca="false">IFERROR(K546/J546,0)</f>
        <v>0.184965041436326</v>
      </c>
      <c r="T546" s="6" t="s">
        <v>23</v>
      </c>
    </row>
    <row r="547" customFormat="false" ht="15" hidden="false" customHeight="false" outlineLevel="0" collapsed="false">
      <c r="A547" s="3" t="s">
        <v>580</v>
      </c>
      <c r="B547" s="3" t="s">
        <v>26</v>
      </c>
      <c r="C547" s="3" t="n">
        <v>2593</v>
      </c>
      <c r="D547" s="3" t="n">
        <v>71</v>
      </c>
      <c r="E547" s="3" t="n">
        <v>883</v>
      </c>
      <c r="F547" s="3" t="n">
        <v>8320</v>
      </c>
      <c r="G547" s="3" t="n">
        <v>14</v>
      </c>
      <c r="H547" s="3" t="n">
        <v>991158.7</v>
      </c>
      <c r="I547" s="3" t="n">
        <v>1891</v>
      </c>
      <c r="J547" s="3" t="n">
        <v>489583</v>
      </c>
      <c r="K547" s="3" t="n">
        <v>94529</v>
      </c>
      <c r="L547" s="3" t="n">
        <v>531</v>
      </c>
      <c r="M547" s="4" t="n">
        <f aca="false">IFERROR(D547/C547,0)</f>
        <v>0.0273814114924798</v>
      </c>
      <c r="N547" s="4" t="n">
        <f aca="false">IFERROR(E547/C547,0)</f>
        <v>0.34053220208253</v>
      </c>
      <c r="O547" s="5" t="n">
        <f aca="false">IFERROR(F547/MAX(C547-D547,1),0)</f>
        <v>3.29896907216495</v>
      </c>
      <c r="P547" s="5" t="n">
        <f aca="false">IFERROR(F547/C547,0)</f>
        <v>3.20863864249904</v>
      </c>
      <c r="Q547" s="5" t="n">
        <f aca="false">IFERROR(H547/C547,0)</f>
        <v>382.244003085229</v>
      </c>
      <c r="R547" s="4" t="n">
        <f aca="false">IFERROR(I547/F547,0)</f>
        <v>0.227283653846154</v>
      </c>
      <c r="S547" s="4" t="n">
        <f aca="false">IFERROR(K547/J547,0)</f>
        <v>0.193080642097458</v>
      </c>
      <c r="T547" s="6" t="s">
        <v>23</v>
      </c>
    </row>
    <row r="548" customFormat="false" ht="15" hidden="false" customHeight="false" outlineLevel="0" collapsed="false">
      <c r="A548" s="9" t="s">
        <v>581</v>
      </c>
      <c r="B548" s="9" t="s">
        <v>29</v>
      </c>
      <c r="C548" s="9" t="n">
        <v>2212</v>
      </c>
      <c r="D548" s="9" t="n">
        <v>466</v>
      </c>
      <c r="E548" s="9" t="n">
        <v>1073</v>
      </c>
      <c r="F548" s="9" t="n">
        <v>16714</v>
      </c>
      <c r="G548" s="9" t="n">
        <v>21</v>
      </c>
      <c r="H548" s="9" t="n">
        <v>1449572.6</v>
      </c>
      <c r="I548" s="9" t="n">
        <v>8993</v>
      </c>
      <c r="J548" s="9" t="n">
        <v>294573</v>
      </c>
      <c r="K548" s="9" t="n">
        <v>174180</v>
      </c>
      <c r="L548" s="9" t="n">
        <v>0</v>
      </c>
      <c r="M548" s="10" t="n">
        <f aca="false">IFERROR(D548/C548,0)</f>
        <v>0.210669077757685</v>
      </c>
      <c r="N548" s="10" t="n">
        <f aca="false">IFERROR(E548/C548,0)</f>
        <v>0.485081374321881</v>
      </c>
      <c r="O548" s="11" t="n">
        <f aca="false">IFERROR(F548/MAX(C548-D548,1),0)</f>
        <v>9.57273768613975</v>
      </c>
      <c r="P548" s="11" t="n">
        <f aca="false">IFERROR(F548/C548,0)</f>
        <v>7.55605786618445</v>
      </c>
      <c r="Q548" s="11" t="n">
        <f aca="false">IFERROR(H548/C548,0)</f>
        <v>655.322151898734</v>
      </c>
      <c r="R548" s="10" t="n">
        <f aca="false">IFERROR(I548/F548,0)</f>
        <v>0.538051932511667</v>
      </c>
      <c r="S548" s="10" t="n">
        <f aca="false">IFERROR(K548/J548,0)</f>
        <v>0.591296554674054</v>
      </c>
      <c r="T548" s="12" t="s">
        <v>30</v>
      </c>
    </row>
    <row r="549" customFormat="false" ht="15" hidden="false" customHeight="false" outlineLevel="0" collapsed="false">
      <c r="A549" s="3" t="s">
        <v>582</v>
      </c>
      <c r="B549" s="3" t="s">
        <v>26</v>
      </c>
      <c r="C549" s="3" t="n">
        <v>942</v>
      </c>
      <c r="D549" s="3" t="n">
        <v>84</v>
      </c>
      <c r="E549" s="3" t="n">
        <v>259</v>
      </c>
      <c r="F549" s="3" t="n">
        <v>2226</v>
      </c>
      <c r="G549" s="3" t="n">
        <v>9</v>
      </c>
      <c r="H549" s="3" t="n">
        <v>309642.9</v>
      </c>
      <c r="I549" s="3" t="n">
        <v>367</v>
      </c>
      <c r="J549" s="3" t="n">
        <v>178417</v>
      </c>
      <c r="K549" s="3" t="n">
        <v>22868</v>
      </c>
      <c r="L549" s="3" t="n">
        <v>284</v>
      </c>
      <c r="M549" s="4" t="n">
        <f aca="false">IFERROR(D549/C549,0)</f>
        <v>0.089171974522293</v>
      </c>
      <c r="N549" s="4" t="n">
        <f aca="false">IFERROR(E549/C549,0)</f>
        <v>0.274946921443737</v>
      </c>
      <c r="O549" s="5" t="n">
        <f aca="false">IFERROR(F549/MAX(C549-D549,1),0)</f>
        <v>2.59440559440559</v>
      </c>
      <c r="P549" s="5" t="n">
        <f aca="false">IFERROR(F549/C549,0)</f>
        <v>2.36305732484076</v>
      </c>
      <c r="Q549" s="5" t="n">
        <f aca="false">IFERROR(H549/C549,0)</f>
        <v>328.70796178344</v>
      </c>
      <c r="R549" s="4" t="n">
        <f aca="false">IFERROR(I549/F549,0)</f>
        <v>0.164869721473495</v>
      </c>
      <c r="S549" s="4" t="n">
        <f aca="false">IFERROR(K549/J549,0)</f>
        <v>0.128171642836725</v>
      </c>
      <c r="T549" s="6" t="s">
        <v>23</v>
      </c>
    </row>
    <row r="550" customFormat="false" ht="15" hidden="false" customHeight="false" outlineLevel="0" collapsed="false">
      <c r="A550" s="3" t="s">
        <v>583</v>
      </c>
      <c r="B550" s="3" t="s">
        <v>29</v>
      </c>
      <c r="C550" s="3" t="n">
        <v>309</v>
      </c>
      <c r="D550" s="3" t="n">
        <v>54</v>
      </c>
      <c r="E550" s="3" t="n">
        <v>110</v>
      </c>
      <c r="F550" s="3" t="n">
        <v>1085</v>
      </c>
      <c r="G550" s="3" t="n">
        <v>14</v>
      </c>
      <c r="H550" s="3" t="n">
        <v>172655.6</v>
      </c>
      <c r="I550" s="3" t="n">
        <v>217</v>
      </c>
      <c r="J550" s="3" t="n">
        <v>25009</v>
      </c>
      <c r="K550" s="3" t="n">
        <v>6501</v>
      </c>
      <c r="L550" s="3" t="n">
        <v>0</v>
      </c>
      <c r="M550" s="4" t="n">
        <f aca="false">IFERROR(D550/C550,0)</f>
        <v>0.174757281553398</v>
      </c>
      <c r="N550" s="4" t="n">
        <f aca="false">IFERROR(E550/C550,0)</f>
        <v>0.355987055016181</v>
      </c>
      <c r="O550" s="5" t="n">
        <f aca="false">IFERROR(F550/MAX(C550-D550,1),0)</f>
        <v>4.25490196078431</v>
      </c>
      <c r="P550" s="5" t="n">
        <f aca="false">IFERROR(F550/C550,0)</f>
        <v>3.51132686084142</v>
      </c>
      <c r="Q550" s="5" t="n">
        <f aca="false">IFERROR(H550/C550,0)</f>
        <v>558.755987055016</v>
      </c>
      <c r="R550" s="4" t="n">
        <f aca="false">IFERROR(I550/F550,0)</f>
        <v>0.2</v>
      </c>
      <c r="S550" s="4" t="n">
        <f aca="false">IFERROR(K550/J550,0)</f>
        <v>0.259946419289056</v>
      </c>
      <c r="T550" s="6" t="s">
        <v>23</v>
      </c>
    </row>
    <row r="551" customFormat="false" ht="15" hidden="false" customHeight="false" outlineLevel="0" collapsed="false">
      <c r="A551" s="3" t="s">
        <v>584</v>
      </c>
      <c r="B551" s="3" t="s">
        <v>22</v>
      </c>
      <c r="C551" s="3" t="n">
        <v>3230</v>
      </c>
      <c r="D551" s="3" t="n">
        <v>345</v>
      </c>
      <c r="E551" s="3" t="n">
        <v>1162</v>
      </c>
      <c r="F551" s="3" t="n">
        <v>9062</v>
      </c>
      <c r="G551" s="3" t="n">
        <v>10</v>
      </c>
      <c r="H551" s="3" t="n">
        <v>2124473.6</v>
      </c>
      <c r="I551" s="3" t="n">
        <v>1715</v>
      </c>
      <c r="J551" s="3" t="n">
        <v>492261</v>
      </c>
      <c r="K551" s="3" t="n">
        <v>96881</v>
      </c>
      <c r="L551" s="3" t="n">
        <v>1158</v>
      </c>
      <c r="M551" s="4" t="n">
        <f aca="false">IFERROR(D551/C551,0)</f>
        <v>0.106811145510836</v>
      </c>
      <c r="N551" s="4" t="n">
        <f aca="false">IFERROR(E551/C551,0)</f>
        <v>0.359752321981424</v>
      </c>
      <c r="O551" s="5" t="n">
        <f aca="false">IFERROR(F551/MAX(C551-D551,1),0)</f>
        <v>3.14107452339688</v>
      </c>
      <c r="P551" s="5" t="n">
        <f aca="false">IFERROR(F551/C551,0)</f>
        <v>2.80557275541796</v>
      </c>
      <c r="Q551" s="5" t="n">
        <f aca="false">IFERROR(H551/C551,0)</f>
        <v>657.731764705882</v>
      </c>
      <c r="R551" s="4" t="n">
        <f aca="false">IFERROR(I551/F551,0)</f>
        <v>0.189251820790113</v>
      </c>
      <c r="S551" s="4" t="n">
        <f aca="false">IFERROR(K551/J551,0)</f>
        <v>0.196808197277461</v>
      </c>
      <c r="T551" s="6" t="s">
        <v>23</v>
      </c>
    </row>
    <row r="552" customFormat="false" ht="15" hidden="false" customHeight="false" outlineLevel="0" collapsed="false">
      <c r="A552" s="3" t="s">
        <v>585</v>
      </c>
      <c r="B552" s="3" t="s">
        <v>22</v>
      </c>
      <c r="C552" s="3" t="n">
        <v>303</v>
      </c>
      <c r="D552" s="3" t="n">
        <v>26</v>
      </c>
      <c r="E552" s="3" t="n">
        <v>92</v>
      </c>
      <c r="F552" s="3" t="n">
        <v>950</v>
      </c>
      <c r="G552" s="3" t="n">
        <v>12</v>
      </c>
      <c r="H552" s="3" t="n">
        <v>193109.2</v>
      </c>
      <c r="I552" s="3" t="n">
        <v>216</v>
      </c>
      <c r="J552" s="3" t="n">
        <v>22867</v>
      </c>
      <c r="K552" s="3" t="n">
        <v>3441</v>
      </c>
      <c r="L552" s="3" t="n">
        <v>124</v>
      </c>
      <c r="M552" s="4" t="n">
        <f aca="false">IFERROR(D552/C552,0)</f>
        <v>0.0858085808580858</v>
      </c>
      <c r="N552" s="4" t="n">
        <f aca="false">IFERROR(E552/C552,0)</f>
        <v>0.303630363036304</v>
      </c>
      <c r="O552" s="5" t="n">
        <f aca="false">IFERROR(F552/MAX(C552-D552,1),0)</f>
        <v>3.42960288808664</v>
      </c>
      <c r="P552" s="5" t="n">
        <f aca="false">IFERROR(F552/C552,0)</f>
        <v>3.13531353135314</v>
      </c>
      <c r="Q552" s="5" t="n">
        <f aca="false">IFERROR(H552/C552,0)</f>
        <v>637.324092409241</v>
      </c>
      <c r="R552" s="4" t="n">
        <f aca="false">IFERROR(I552/F552,0)</f>
        <v>0.227368421052632</v>
      </c>
      <c r="S552" s="4" t="n">
        <f aca="false">IFERROR(K552/J552,0)</f>
        <v>0.150478855993353</v>
      </c>
      <c r="T552" s="6" t="s">
        <v>23</v>
      </c>
    </row>
    <row r="553" customFormat="false" ht="15" hidden="false" customHeight="false" outlineLevel="0" collapsed="false">
      <c r="A553" s="3" t="s">
        <v>586</v>
      </c>
      <c r="B553" s="3" t="s">
        <v>26</v>
      </c>
      <c r="C553" s="3" t="n">
        <v>1168</v>
      </c>
      <c r="D553" s="3" t="n">
        <v>96</v>
      </c>
      <c r="E553" s="3" t="n">
        <v>309</v>
      </c>
      <c r="F553" s="3" t="n">
        <v>1965</v>
      </c>
      <c r="G553" s="3" t="n">
        <v>10</v>
      </c>
      <c r="H553" s="3" t="n">
        <v>441825.3</v>
      </c>
      <c r="I553" s="3" t="n">
        <v>327</v>
      </c>
      <c r="J553" s="3" t="n">
        <v>192269</v>
      </c>
      <c r="K553" s="3" t="n">
        <v>50216</v>
      </c>
      <c r="L553" s="3" t="n">
        <v>331</v>
      </c>
      <c r="M553" s="4" t="n">
        <f aca="false">IFERROR(D553/C553,0)</f>
        <v>0.0821917808219178</v>
      </c>
      <c r="N553" s="4" t="n">
        <f aca="false">IFERROR(E553/C553,0)</f>
        <v>0.264554794520548</v>
      </c>
      <c r="O553" s="5" t="n">
        <f aca="false">IFERROR(F553/MAX(C553-D553,1),0)</f>
        <v>1.8330223880597</v>
      </c>
      <c r="P553" s="5" t="n">
        <f aca="false">IFERROR(F553/C553,0)</f>
        <v>1.68236301369863</v>
      </c>
      <c r="Q553" s="5" t="n">
        <f aca="false">IFERROR(H553/C553,0)</f>
        <v>378.275085616438</v>
      </c>
      <c r="R553" s="4" t="n">
        <f aca="false">IFERROR(I553/F553,0)</f>
        <v>0.166412213740458</v>
      </c>
      <c r="S553" s="4" t="n">
        <f aca="false">IFERROR(K553/J553,0)</f>
        <v>0.26117574856061</v>
      </c>
      <c r="T553" s="6" t="s">
        <v>23</v>
      </c>
    </row>
    <row r="554" customFormat="false" ht="15" hidden="false" customHeight="false" outlineLevel="0" collapsed="false">
      <c r="A554" s="3" t="s">
        <v>587</v>
      </c>
      <c r="B554" s="3" t="s">
        <v>29</v>
      </c>
      <c r="C554" s="3" t="n">
        <v>1077</v>
      </c>
      <c r="D554" s="3" t="n">
        <v>80</v>
      </c>
      <c r="E554" s="3" t="n">
        <v>412</v>
      </c>
      <c r="F554" s="3" t="n">
        <v>3713</v>
      </c>
      <c r="G554" s="3" t="n">
        <v>14</v>
      </c>
      <c r="H554" s="3" t="n">
        <v>382340.8</v>
      </c>
      <c r="I554" s="3" t="n">
        <v>439</v>
      </c>
      <c r="J554" s="3" t="n">
        <v>175622</v>
      </c>
      <c r="K554" s="3" t="n">
        <v>42454</v>
      </c>
      <c r="L554" s="3" t="n">
        <v>0</v>
      </c>
      <c r="M554" s="4" t="n">
        <f aca="false">IFERROR(D554/C554,0)</f>
        <v>0.074280408542247</v>
      </c>
      <c r="N554" s="4" t="n">
        <f aca="false">IFERROR(E554/C554,0)</f>
        <v>0.382544103992572</v>
      </c>
      <c r="O554" s="5" t="n">
        <f aca="false">IFERROR(F554/MAX(C554-D554,1),0)</f>
        <v>3.72417251755266</v>
      </c>
      <c r="P554" s="5" t="n">
        <f aca="false">IFERROR(F554/C554,0)</f>
        <v>3.44753946146704</v>
      </c>
      <c r="Q554" s="5" t="n">
        <f aca="false">IFERROR(H554/C554,0)</f>
        <v>355.005385329619</v>
      </c>
      <c r="R554" s="4" t="n">
        <f aca="false">IFERROR(I554/F554,0)</f>
        <v>0.118233234581201</v>
      </c>
      <c r="S554" s="4" t="n">
        <f aca="false">IFERROR(K554/J554,0)</f>
        <v>0.241735090136771</v>
      </c>
      <c r="T554" s="6" t="s">
        <v>23</v>
      </c>
    </row>
    <row r="555" customFormat="false" ht="15" hidden="false" customHeight="false" outlineLevel="0" collapsed="false">
      <c r="A555" s="3" t="s">
        <v>588</v>
      </c>
      <c r="B555" s="3" t="s">
        <v>22</v>
      </c>
      <c r="C555" s="3" t="n">
        <v>911</v>
      </c>
      <c r="D555" s="3" t="n">
        <v>88</v>
      </c>
      <c r="E555" s="3" t="n">
        <v>357</v>
      </c>
      <c r="F555" s="3" t="n">
        <v>3034</v>
      </c>
      <c r="G555" s="3" t="n">
        <v>17</v>
      </c>
      <c r="H555" s="3" t="n">
        <v>519104</v>
      </c>
      <c r="I555" s="3" t="n">
        <v>474</v>
      </c>
      <c r="J555" s="3" t="n">
        <v>143248</v>
      </c>
      <c r="K555" s="3" t="n">
        <v>18420</v>
      </c>
      <c r="L555" s="3" t="n">
        <v>343</v>
      </c>
      <c r="M555" s="4" t="n">
        <f aca="false">IFERROR(D555/C555,0)</f>
        <v>0.0965971459934138</v>
      </c>
      <c r="N555" s="4" t="n">
        <f aca="false">IFERROR(E555/C555,0)</f>
        <v>0.391877058177827</v>
      </c>
      <c r="O555" s="5" t="n">
        <f aca="false">IFERROR(F555/MAX(C555-D555,1),0)</f>
        <v>3.6865127582017</v>
      </c>
      <c r="P555" s="5" t="n">
        <f aca="false">IFERROR(F555/C555,0)</f>
        <v>3.33040614709111</v>
      </c>
      <c r="Q555" s="5" t="n">
        <f aca="false">IFERROR(H555/C555,0)</f>
        <v>569.817782656422</v>
      </c>
      <c r="R555" s="4" t="n">
        <f aca="false">IFERROR(I555/F555,0)</f>
        <v>0.156229400131839</v>
      </c>
      <c r="S555" s="4" t="n">
        <f aca="false">IFERROR(K555/J555,0)</f>
        <v>0.128588182732045</v>
      </c>
      <c r="T555" s="6" t="s">
        <v>23</v>
      </c>
    </row>
    <row r="556" customFormat="false" ht="15" hidden="false" customHeight="false" outlineLevel="0" collapsed="false">
      <c r="A556" s="3" t="s">
        <v>589</v>
      </c>
      <c r="B556" s="3" t="s">
        <v>29</v>
      </c>
      <c r="C556" s="3" t="n">
        <v>1481</v>
      </c>
      <c r="D556" s="3" t="n">
        <v>134</v>
      </c>
      <c r="E556" s="3" t="n">
        <v>575</v>
      </c>
      <c r="F556" s="3" t="n">
        <v>3327</v>
      </c>
      <c r="G556" s="3" t="n">
        <v>12</v>
      </c>
      <c r="H556" s="3" t="n">
        <v>586156</v>
      </c>
      <c r="I556" s="3" t="n">
        <v>702</v>
      </c>
      <c r="J556" s="3" t="n">
        <v>256529</v>
      </c>
      <c r="K556" s="3" t="n">
        <v>48572</v>
      </c>
      <c r="L556" s="3" t="n">
        <v>0</v>
      </c>
      <c r="M556" s="4" t="n">
        <f aca="false">IFERROR(D556/C556,0)</f>
        <v>0.0904794058068872</v>
      </c>
      <c r="N556" s="4" t="n">
        <f aca="false">IFERROR(E556/C556,0)</f>
        <v>0.388251181634031</v>
      </c>
      <c r="O556" s="5" t="n">
        <f aca="false">IFERROR(F556/MAX(C556-D556,1),0)</f>
        <v>2.46993318485523</v>
      </c>
      <c r="P556" s="5" t="n">
        <f aca="false">IFERROR(F556/C556,0)</f>
        <v>2.24645509790682</v>
      </c>
      <c r="Q556" s="5" t="n">
        <f aca="false">IFERROR(H556/C556,0)</f>
        <v>395.783929777178</v>
      </c>
      <c r="R556" s="4" t="n">
        <f aca="false">IFERROR(I556/F556,0)</f>
        <v>0.211000901713255</v>
      </c>
      <c r="S556" s="4" t="n">
        <f aca="false">IFERROR(K556/J556,0)</f>
        <v>0.189343115203349</v>
      </c>
      <c r="T556" s="6" t="s">
        <v>23</v>
      </c>
    </row>
    <row r="557" customFormat="false" ht="15" hidden="false" customHeight="false" outlineLevel="0" collapsed="false">
      <c r="A557" s="3" t="s">
        <v>590</v>
      </c>
      <c r="B557" s="3" t="s">
        <v>29</v>
      </c>
      <c r="C557" s="3" t="n">
        <v>3091</v>
      </c>
      <c r="D557" s="3" t="n">
        <v>373</v>
      </c>
      <c r="E557" s="3" t="n">
        <v>1293</v>
      </c>
      <c r="F557" s="3" t="n">
        <v>8840</v>
      </c>
      <c r="G557" s="3" t="n">
        <v>9</v>
      </c>
      <c r="H557" s="3" t="n">
        <v>1217321.8</v>
      </c>
      <c r="I557" s="3" t="n">
        <v>1495</v>
      </c>
      <c r="J557" s="3" t="n">
        <v>542931</v>
      </c>
      <c r="K557" s="3" t="n">
        <v>113400</v>
      </c>
      <c r="L557" s="3" t="n">
        <v>0</v>
      </c>
      <c r="M557" s="4" t="n">
        <f aca="false">IFERROR(D557/C557,0)</f>
        <v>0.120672921384665</v>
      </c>
      <c r="N557" s="4" t="n">
        <f aca="false">IFERROR(E557/C557,0)</f>
        <v>0.418311226140408</v>
      </c>
      <c r="O557" s="5" t="n">
        <f aca="false">IFERROR(F557/MAX(C557-D557,1),0)</f>
        <v>3.25239146431199</v>
      </c>
      <c r="P557" s="5" t="n">
        <f aca="false">IFERROR(F557/C557,0)</f>
        <v>2.85991588482692</v>
      </c>
      <c r="Q557" s="5" t="n">
        <f aca="false">IFERROR(H557/C557,0)</f>
        <v>393.827822711097</v>
      </c>
      <c r="R557" s="4" t="n">
        <f aca="false">IFERROR(I557/F557,0)</f>
        <v>0.169117647058824</v>
      </c>
      <c r="S557" s="4" t="n">
        <f aca="false">IFERROR(K557/J557,0)</f>
        <v>0.208866320029617</v>
      </c>
      <c r="T557" s="6" t="s">
        <v>23</v>
      </c>
    </row>
    <row r="558" customFormat="false" ht="15" hidden="false" customHeight="false" outlineLevel="0" collapsed="false">
      <c r="A558" s="9" t="s">
        <v>591</v>
      </c>
      <c r="B558" s="9" t="s">
        <v>22</v>
      </c>
      <c r="C558" s="9" t="n">
        <v>3470</v>
      </c>
      <c r="D558" s="9" t="n">
        <v>1094</v>
      </c>
      <c r="E558" s="9" t="n">
        <v>1711</v>
      </c>
      <c r="F558" s="9" t="n">
        <v>28478</v>
      </c>
      <c r="G558" s="9" t="n">
        <v>23</v>
      </c>
      <c r="H558" s="9" t="n">
        <v>3007870.8</v>
      </c>
      <c r="I558" s="9" t="n">
        <v>17972</v>
      </c>
      <c r="J558" s="9" t="n">
        <v>627948</v>
      </c>
      <c r="K558" s="9" t="n">
        <v>268826</v>
      </c>
      <c r="L558" s="9" t="n">
        <v>404</v>
      </c>
      <c r="M558" s="10" t="n">
        <f aca="false">IFERROR(D558/C558,0)</f>
        <v>0.315273775216138</v>
      </c>
      <c r="N558" s="10" t="n">
        <f aca="false">IFERROR(E558/C558,0)</f>
        <v>0.493083573487032</v>
      </c>
      <c r="O558" s="11" t="n">
        <f aca="false">IFERROR(F558/MAX(C558-D558,1),0)</f>
        <v>11.9856902356902</v>
      </c>
      <c r="P558" s="11" t="n">
        <f aca="false">IFERROR(F558/C558,0)</f>
        <v>8.20691642651297</v>
      </c>
      <c r="Q558" s="11" t="n">
        <f aca="false">IFERROR(H558/C558,0)</f>
        <v>866.821556195965</v>
      </c>
      <c r="R558" s="10" t="n">
        <f aca="false">IFERROR(I558/F558,0)</f>
        <v>0.631083643514292</v>
      </c>
      <c r="S558" s="10" t="n">
        <f aca="false">IFERROR(K558/J558,0)</f>
        <v>0.428102326944269</v>
      </c>
      <c r="T558" s="12" t="s">
        <v>30</v>
      </c>
    </row>
    <row r="559" customFormat="false" ht="15" hidden="false" customHeight="false" outlineLevel="0" collapsed="false">
      <c r="A559" s="3" t="s">
        <v>592</v>
      </c>
      <c r="B559" s="3" t="s">
        <v>29</v>
      </c>
      <c r="C559" s="3" t="n">
        <v>827</v>
      </c>
      <c r="D559" s="3" t="n">
        <v>135</v>
      </c>
      <c r="E559" s="3" t="n">
        <v>410</v>
      </c>
      <c r="F559" s="3" t="n">
        <v>3218</v>
      </c>
      <c r="G559" s="3" t="n">
        <v>20</v>
      </c>
      <c r="H559" s="3" t="n">
        <v>450749.4</v>
      </c>
      <c r="I559" s="3" t="n">
        <v>727</v>
      </c>
      <c r="J559" s="3" t="n">
        <v>108962</v>
      </c>
      <c r="K559" s="3" t="n">
        <v>24677</v>
      </c>
      <c r="L559" s="3" t="n">
        <v>0</v>
      </c>
      <c r="M559" s="4" t="n">
        <f aca="false">IFERROR(D559/C559,0)</f>
        <v>0.163240628778718</v>
      </c>
      <c r="N559" s="4" t="n">
        <f aca="false">IFERROR(E559/C559,0)</f>
        <v>0.495767835550181</v>
      </c>
      <c r="O559" s="5" t="n">
        <f aca="false">IFERROR(F559/MAX(C559-D559,1),0)</f>
        <v>4.65028901734104</v>
      </c>
      <c r="P559" s="5" t="n">
        <f aca="false">IFERROR(F559/C559,0)</f>
        <v>3.89117291414752</v>
      </c>
      <c r="Q559" s="5" t="n">
        <f aca="false">IFERROR(H559/C559,0)</f>
        <v>545.041596130593</v>
      </c>
      <c r="R559" s="4" t="n">
        <f aca="false">IFERROR(I559/F559,0)</f>
        <v>0.22591671845867</v>
      </c>
      <c r="S559" s="4" t="n">
        <f aca="false">IFERROR(K559/J559,0)</f>
        <v>0.226473449459445</v>
      </c>
      <c r="T559" s="6" t="s">
        <v>23</v>
      </c>
    </row>
    <row r="560" customFormat="false" ht="15" hidden="false" customHeight="false" outlineLevel="0" collapsed="false">
      <c r="A560" s="3" t="s">
        <v>593</v>
      </c>
      <c r="B560" s="3" t="s">
        <v>26</v>
      </c>
      <c r="C560" s="3" t="n">
        <v>1459</v>
      </c>
      <c r="D560" s="3" t="n">
        <v>7</v>
      </c>
      <c r="E560" s="3" t="n">
        <v>278</v>
      </c>
      <c r="F560" s="3" t="n">
        <v>2760</v>
      </c>
      <c r="G560" s="3" t="n">
        <v>7</v>
      </c>
      <c r="H560" s="3" t="n">
        <v>523483.9</v>
      </c>
      <c r="I560" s="3" t="n">
        <v>546</v>
      </c>
      <c r="J560" s="3" t="n">
        <v>132576</v>
      </c>
      <c r="K560" s="3" t="n">
        <v>25051</v>
      </c>
      <c r="L560" s="3" t="n">
        <v>355</v>
      </c>
      <c r="M560" s="4" t="n">
        <f aca="false">IFERROR(D560/C560,0)</f>
        <v>0.0047978067169294</v>
      </c>
      <c r="N560" s="4" t="n">
        <f aca="false">IFERROR(E560/C560,0)</f>
        <v>0.190541466758053</v>
      </c>
      <c r="O560" s="5" t="n">
        <f aca="false">IFERROR(F560/MAX(C560-D560,1),0)</f>
        <v>1.90082644628099</v>
      </c>
      <c r="P560" s="5" t="n">
        <f aca="false">IFERROR(F560/C560,0)</f>
        <v>1.89170664838931</v>
      </c>
      <c r="Q560" s="5" t="n">
        <f aca="false">IFERROR(H560/C560,0)</f>
        <v>358.796367374914</v>
      </c>
      <c r="R560" s="4" t="n">
        <f aca="false">IFERROR(I560/F560,0)</f>
        <v>0.197826086956522</v>
      </c>
      <c r="S560" s="4" t="n">
        <f aca="false">IFERROR(K560/J560,0)</f>
        <v>0.188955768766594</v>
      </c>
      <c r="T560" s="6" t="s">
        <v>23</v>
      </c>
    </row>
    <row r="561" customFormat="false" ht="15" hidden="false" customHeight="false" outlineLevel="0" collapsed="false">
      <c r="A561" s="3" t="s">
        <v>594</v>
      </c>
      <c r="B561" s="3" t="s">
        <v>22</v>
      </c>
      <c r="C561" s="3" t="n">
        <v>1077</v>
      </c>
      <c r="D561" s="3" t="n">
        <v>172</v>
      </c>
      <c r="E561" s="3" t="n">
        <v>484</v>
      </c>
      <c r="F561" s="3" t="n">
        <v>3226</v>
      </c>
      <c r="G561" s="3" t="n">
        <v>12</v>
      </c>
      <c r="H561" s="3" t="n">
        <v>676461.6</v>
      </c>
      <c r="I561" s="3" t="n">
        <v>777</v>
      </c>
      <c r="J561" s="3" t="n">
        <v>113151</v>
      </c>
      <c r="K561" s="3" t="n">
        <v>27330</v>
      </c>
      <c r="L561" s="3" t="n">
        <v>303</v>
      </c>
      <c r="M561" s="4" t="n">
        <f aca="false">IFERROR(D561/C561,0)</f>
        <v>0.159702878365831</v>
      </c>
      <c r="N561" s="4" t="n">
        <f aca="false">IFERROR(E561/C561,0)</f>
        <v>0.449396471680594</v>
      </c>
      <c r="O561" s="5" t="n">
        <f aca="false">IFERROR(F561/MAX(C561-D561,1),0)</f>
        <v>3.5646408839779</v>
      </c>
      <c r="P561" s="5" t="n">
        <f aca="false">IFERROR(F561/C561,0)</f>
        <v>2.99535747446611</v>
      </c>
      <c r="Q561" s="5" t="n">
        <f aca="false">IFERROR(H561/C561,0)</f>
        <v>628.098050139276</v>
      </c>
      <c r="R561" s="4" t="n">
        <f aca="false">IFERROR(I561/F561,0)</f>
        <v>0.24085554866708</v>
      </c>
      <c r="S561" s="4" t="n">
        <f aca="false">IFERROR(K561/J561,0)</f>
        <v>0.241535647055704</v>
      </c>
      <c r="T561" s="6" t="s">
        <v>23</v>
      </c>
    </row>
    <row r="562" customFormat="false" ht="15" hidden="false" customHeight="false" outlineLevel="0" collapsed="false">
      <c r="A562" s="3" t="s">
        <v>595</v>
      </c>
      <c r="B562" s="3" t="s">
        <v>29</v>
      </c>
      <c r="C562" s="3" t="n">
        <v>643</v>
      </c>
      <c r="D562" s="3" t="n">
        <v>105</v>
      </c>
      <c r="E562" s="3" t="n">
        <v>209</v>
      </c>
      <c r="F562" s="3" t="n">
        <v>2208</v>
      </c>
      <c r="G562" s="3" t="n">
        <v>15</v>
      </c>
      <c r="H562" s="3" t="n">
        <v>379663.4</v>
      </c>
      <c r="I562" s="3" t="n">
        <v>604</v>
      </c>
      <c r="J562" s="3" t="n">
        <v>57351</v>
      </c>
      <c r="K562" s="3" t="n">
        <v>16459</v>
      </c>
      <c r="L562" s="3" t="n">
        <v>0</v>
      </c>
      <c r="M562" s="4" t="n">
        <f aca="false">IFERROR(D562/C562,0)</f>
        <v>0.163297045101089</v>
      </c>
      <c r="N562" s="4" t="n">
        <f aca="false">IFERROR(E562/C562,0)</f>
        <v>0.325038880248834</v>
      </c>
      <c r="O562" s="5" t="n">
        <f aca="false">IFERROR(F562/MAX(C562-D562,1),0)</f>
        <v>4.10408921933086</v>
      </c>
      <c r="P562" s="5" t="n">
        <f aca="false">IFERROR(F562/C562,0)</f>
        <v>3.43390357698289</v>
      </c>
      <c r="Q562" s="5" t="n">
        <f aca="false">IFERROR(H562/C562,0)</f>
        <v>590.456298600311</v>
      </c>
      <c r="R562" s="4" t="n">
        <f aca="false">IFERROR(I562/F562,0)</f>
        <v>0.273550724637681</v>
      </c>
      <c r="S562" s="4" t="n">
        <f aca="false">IFERROR(K562/J562,0)</f>
        <v>0.286987149308643</v>
      </c>
      <c r="T562" s="6" t="s">
        <v>23</v>
      </c>
    </row>
    <row r="563" customFormat="false" ht="15" hidden="false" customHeight="false" outlineLevel="0" collapsed="false">
      <c r="A563" s="3" t="s">
        <v>596</v>
      </c>
      <c r="B563" s="3" t="s">
        <v>29</v>
      </c>
      <c r="C563" s="3" t="n">
        <v>2429</v>
      </c>
      <c r="D563" s="3" t="n">
        <v>377</v>
      </c>
      <c r="E563" s="3" t="n">
        <v>1041</v>
      </c>
      <c r="F563" s="3" t="n">
        <v>7787</v>
      </c>
      <c r="G563" s="3" t="n">
        <v>15</v>
      </c>
      <c r="H563" s="3" t="n">
        <v>1417653.7</v>
      </c>
      <c r="I563" s="3" t="n">
        <v>1980</v>
      </c>
      <c r="J563" s="3" t="n">
        <v>408510</v>
      </c>
      <c r="K563" s="3" t="n">
        <v>91967</v>
      </c>
      <c r="L563" s="3" t="n">
        <v>0</v>
      </c>
      <c r="M563" s="4" t="n">
        <f aca="false">IFERROR(D563/C563,0)</f>
        <v>0.155207904487443</v>
      </c>
      <c r="N563" s="4" t="n">
        <f aca="false">IFERROR(E563/C563,0)</f>
        <v>0.428571428571429</v>
      </c>
      <c r="O563" s="5" t="n">
        <f aca="false">IFERROR(F563/MAX(C563-D563,1),0)</f>
        <v>3.7948343079922</v>
      </c>
      <c r="P563" s="5" t="n">
        <f aca="false">IFERROR(F563/C563,0)</f>
        <v>3.20584602717168</v>
      </c>
      <c r="Q563" s="5" t="n">
        <f aca="false">IFERROR(H563/C563,0)</f>
        <v>583.636764100453</v>
      </c>
      <c r="R563" s="4" t="n">
        <f aca="false">IFERROR(I563/F563,0)</f>
        <v>0.254269937074612</v>
      </c>
      <c r="S563" s="4" t="n">
        <f aca="false">IFERROR(K563/J563,0)</f>
        <v>0.225127903845683</v>
      </c>
      <c r="T563" s="6" t="s">
        <v>23</v>
      </c>
    </row>
    <row r="564" customFormat="false" ht="15" hidden="false" customHeight="false" outlineLevel="0" collapsed="false">
      <c r="A564" s="3" t="s">
        <v>597</v>
      </c>
      <c r="B564" s="3" t="s">
        <v>22</v>
      </c>
      <c r="C564" s="3" t="n">
        <v>3387</v>
      </c>
      <c r="D564" s="3" t="n">
        <v>520</v>
      </c>
      <c r="E564" s="3" t="n">
        <v>1360</v>
      </c>
      <c r="F564" s="3" t="n">
        <v>10814</v>
      </c>
      <c r="G564" s="3" t="n">
        <v>12</v>
      </c>
      <c r="H564" s="3" t="n">
        <v>2119396</v>
      </c>
      <c r="I564" s="3" t="n">
        <v>2773</v>
      </c>
      <c r="J564" s="3" t="n">
        <v>258381</v>
      </c>
      <c r="K564" s="3" t="n">
        <v>44794</v>
      </c>
      <c r="L564" s="3" t="n">
        <v>1124</v>
      </c>
      <c r="M564" s="4" t="n">
        <f aca="false">IFERROR(D564/C564,0)</f>
        <v>0.153528196043697</v>
      </c>
      <c r="N564" s="4" t="n">
        <f aca="false">IFERROR(E564/C564,0)</f>
        <v>0.401535281960437</v>
      </c>
      <c r="O564" s="5" t="n">
        <f aca="false">IFERROR(F564/MAX(C564-D564,1),0)</f>
        <v>3.7718869898849</v>
      </c>
      <c r="P564" s="5" t="n">
        <f aca="false">IFERROR(F564/C564,0)</f>
        <v>3.19279598464718</v>
      </c>
      <c r="Q564" s="5" t="n">
        <f aca="false">IFERROR(H564/C564,0)</f>
        <v>625.744316504281</v>
      </c>
      <c r="R564" s="4" t="n">
        <f aca="false">IFERROR(I564/F564,0)</f>
        <v>0.256426854078047</v>
      </c>
      <c r="S564" s="4" t="n">
        <f aca="false">IFERROR(K564/J564,0)</f>
        <v>0.17336414055213</v>
      </c>
      <c r="T564" s="6" t="s">
        <v>23</v>
      </c>
    </row>
    <row r="565" customFormat="false" ht="15" hidden="false" customHeight="false" outlineLevel="0" collapsed="false">
      <c r="A565" s="3" t="s">
        <v>598</v>
      </c>
      <c r="B565" s="3" t="s">
        <v>29</v>
      </c>
      <c r="C565" s="3" t="n">
        <v>687</v>
      </c>
      <c r="D565" s="3" t="n">
        <v>8</v>
      </c>
      <c r="E565" s="3" t="n">
        <v>147</v>
      </c>
      <c r="F565" s="3" t="n">
        <v>938</v>
      </c>
      <c r="G565" s="3" t="n">
        <v>5</v>
      </c>
      <c r="H565" s="3" t="n">
        <v>164872.2</v>
      </c>
      <c r="I565" s="3" t="n">
        <v>155</v>
      </c>
      <c r="J565" s="3" t="n">
        <v>119714</v>
      </c>
      <c r="K565" s="3" t="n">
        <v>19616</v>
      </c>
      <c r="L565" s="3" t="n">
        <v>0</v>
      </c>
      <c r="M565" s="4" t="n">
        <f aca="false">IFERROR(D565/C565,0)</f>
        <v>0.0116448326055313</v>
      </c>
      <c r="N565" s="4" t="n">
        <f aca="false">IFERROR(E565/C565,0)</f>
        <v>0.213973799126638</v>
      </c>
      <c r="O565" s="5" t="n">
        <f aca="false">IFERROR(F565/MAX(C565-D565,1),0)</f>
        <v>1.38144329896907</v>
      </c>
      <c r="P565" s="5" t="n">
        <f aca="false">IFERROR(F565/C565,0)</f>
        <v>1.36535662299854</v>
      </c>
      <c r="Q565" s="5" t="n">
        <f aca="false">IFERROR(H565/C565,0)</f>
        <v>239.98864628821</v>
      </c>
      <c r="R565" s="4" t="n">
        <f aca="false">IFERROR(I565/F565,0)</f>
        <v>0.165245202558635</v>
      </c>
      <c r="S565" s="4" t="n">
        <f aca="false">IFERROR(K565/J565,0)</f>
        <v>0.163857192976594</v>
      </c>
      <c r="T565" s="6" t="s">
        <v>23</v>
      </c>
    </row>
    <row r="566" customFormat="false" ht="15" hidden="false" customHeight="false" outlineLevel="0" collapsed="false">
      <c r="A566" s="3" t="s">
        <v>599</v>
      </c>
      <c r="B566" s="3" t="s">
        <v>26</v>
      </c>
      <c r="C566" s="3" t="n">
        <v>892</v>
      </c>
      <c r="D566" s="3" t="n">
        <v>110</v>
      </c>
      <c r="E566" s="3" t="n">
        <v>359</v>
      </c>
      <c r="F566" s="3" t="n">
        <v>2454</v>
      </c>
      <c r="G566" s="3" t="n">
        <v>15</v>
      </c>
      <c r="H566" s="3" t="n">
        <v>303858.4</v>
      </c>
      <c r="I566" s="3" t="n">
        <v>364</v>
      </c>
      <c r="J566" s="3" t="n">
        <v>120804</v>
      </c>
      <c r="K566" s="3" t="n">
        <v>25270</v>
      </c>
      <c r="L566" s="3" t="n">
        <v>122</v>
      </c>
      <c r="M566" s="4" t="n">
        <f aca="false">IFERROR(D566/C566,0)</f>
        <v>0.123318385650224</v>
      </c>
      <c r="N566" s="4" t="n">
        <f aca="false">IFERROR(E566/C566,0)</f>
        <v>0.402466367713005</v>
      </c>
      <c r="O566" s="5" t="n">
        <f aca="false">IFERROR(F566/MAX(C566-D566,1),0)</f>
        <v>3.1381074168798</v>
      </c>
      <c r="P566" s="5" t="n">
        <f aca="false">IFERROR(F566/C566,0)</f>
        <v>2.75112107623318</v>
      </c>
      <c r="Q566" s="5" t="n">
        <f aca="false">IFERROR(H566/C566,0)</f>
        <v>340.648430493274</v>
      </c>
      <c r="R566" s="4" t="n">
        <f aca="false">IFERROR(I566/F566,0)</f>
        <v>0.148329258353708</v>
      </c>
      <c r="S566" s="4" t="n">
        <f aca="false">IFERROR(K566/J566,0)</f>
        <v>0.209181815171683</v>
      </c>
      <c r="T566" s="6" t="s">
        <v>23</v>
      </c>
    </row>
    <row r="567" customFormat="false" ht="15" hidden="false" customHeight="false" outlineLevel="0" collapsed="false">
      <c r="A567" s="3" t="s">
        <v>600</v>
      </c>
      <c r="B567" s="3" t="s">
        <v>26</v>
      </c>
      <c r="C567" s="3" t="n">
        <v>977</v>
      </c>
      <c r="D567" s="3" t="n">
        <v>51</v>
      </c>
      <c r="E567" s="3" t="n">
        <v>347</v>
      </c>
      <c r="F567" s="3" t="n">
        <v>2170</v>
      </c>
      <c r="G567" s="3" t="n">
        <v>7</v>
      </c>
      <c r="H567" s="3" t="n">
        <v>448303.5</v>
      </c>
      <c r="I567" s="3" t="n">
        <v>171</v>
      </c>
      <c r="J567" s="3" t="n">
        <v>83088</v>
      </c>
      <c r="K567" s="3" t="n">
        <v>14298</v>
      </c>
      <c r="L567" s="3" t="n">
        <v>146</v>
      </c>
      <c r="M567" s="4" t="n">
        <f aca="false">IFERROR(D567/C567,0)</f>
        <v>0.0522006141248721</v>
      </c>
      <c r="N567" s="4" t="n">
        <f aca="false">IFERROR(E567/C567,0)</f>
        <v>0.355168884339816</v>
      </c>
      <c r="O567" s="5" t="n">
        <f aca="false">IFERROR(F567/MAX(C567-D567,1),0)</f>
        <v>2.34341252699784</v>
      </c>
      <c r="P567" s="5" t="n">
        <f aca="false">IFERROR(F567/C567,0)</f>
        <v>2.22108495394063</v>
      </c>
      <c r="Q567" s="5" t="n">
        <f aca="false">IFERROR(H567/C567,0)</f>
        <v>458.857215967247</v>
      </c>
      <c r="R567" s="4" t="n">
        <f aca="false">IFERROR(I567/F567,0)</f>
        <v>0.0788018433179724</v>
      </c>
      <c r="S567" s="4" t="n">
        <f aca="false">IFERROR(K567/J567,0)</f>
        <v>0.172082611207395</v>
      </c>
      <c r="T567" s="6" t="s">
        <v>23</v>
      </c>
    </row>
    <row r="568" customFormat="false" ht="15" hidden="false" customHeight="false" outlineLevel="0" collapsed="false">
      <c r="A568" s="3" t="s">
        <v>601</v>
      </c>
      <c r="B568" s="3" t="s">
        <v>26</v>
      </c>
      <c r="C568" s="3" t="n">
        <v>2225</v>
      </c>
      <c r="D568" s="3" t="n">
        <v>186</v>
      </c>
      <c r="E568" s="3" t="n">
        <v>735</v>
      </c>
      <c r="F568" s="3" t="n">
        <v>4522</v>
      </c>
      <c r="G568" s="3" t="n">
        <v>11</v>
      </c>
      <c r="H568" s="3" t="n">
        <v>1164441.6</v>
      </c>
      <c r="I568" s="3" t="n">
        <v>1013</v>
      </c>
      <c r="J568" s="3" t="n">
        <v>352379</v>
      </c>
      <c r="K568" s="3" t="n">
        <v>68828</v>
      </c>
      <c r="L568" s="3" t="n">
        <v>254</v>
      </c>
      <c r="M568" s="4" t="n">
        <f aca="false">IFERROR(D568/C568,0)</f>
        <v>0.0835955056179775</v>
      </c>
      <c r="N568" s="4" t="n">
        <f aca="false">IFERROR(E568/C568,0)</f>
        <v>0.330337078651685</v>
      </c>
      <c r="O568" s="5" t="n">
        <f aca="false">IFERROR(F568/MAX(C568-D568,1),0)</f>
        <v>2.21775380088279</v>
      </c>
      <c r="P568" s="5" t="n">
        <f aca="false">IFERROR(F568/C568,0)</f>
        <v>2.0323595505618</v>
      </c>
      <c r="Q568" s="5" t="n">
        <f aca="false">IFERROR(H568/C568,0)</f>
        <v>523.344539325843</v>
      </c>
      <c r="R568" s="4" t="n">
        <f aca="false">IFERROR(I568/F568,0)</f>
        <v>0.224015922158337</v>
      </c>
      <c r="S568" s="4" t="n">
        <f aca="false">IFERROR(K568/J568,0)</f>
        <v>0.195323784902052</v>
      </c>
      <c r="T568" s="6" t="s">
        <v>23</v>
      </c>
    </row>
    <row r="569" customFormat="false" ht="15" hidden="false" customHeight="false" outlineLevel="0" collapsed="false">
      <c r="A569" s="9" t="s">
        <v>602</v>
      </c>
      <c r="B569" s="9" t="s">
        <v>26</v>
      </c>
      <c r="C569" s="9" t="n">
        <v>1759</v>
      </c>
      <c r="D569" s="9" t="n">
        <v>582</v>
      </c>
      <c r="E569" s="9" t="n">
        <v>1007</v>
      </c>
      <c r="F569" s="9" t="n">
        <v>8523</v>
      </c>
      <c r="G569" s="9" t="n">
        <v>16</v>
      </c>
      <c r="H569" s="9" t="n">
        <v>1400731.6</v>
      </c>
      <c r="I569" s="9" t="n">
        <v>5228</v>
      </c>
      <c r="J569" s="9" t="n">
        <v>238332</v>
      </c>
      <c r="K569" s="9" t="n">
        <v>119063</v>
      </c>
      <c r="L569" s="9" t="n">
        <v>631</v>
      </c>
      <c r="M569" s="10" t="n">
        <f aca="false">IFERROR(D569/C569,0)</f>
        <v>0.330869812393405</v>
      </c>
      <c r="N569" s="10" t="n">
        <f aca="false">IFERROR(E569/C569,0)</f>
        <v>0.572484366117112</v>
      </c>
      <c r="O569" s="11" t="n">
        <f aca="false">IFERROR(F569/MAX(C569-D569,1),0)</f>
        <v>7.24129141886151</v>
      </c>
      <c r="P569" s="11" t="n">
        <f aca="false">IFERROR(F569/C569,0)</f>
        <v>4.84536668561683</v>
      </c>
      <c r="Q569" s="11" t="n">
        <f aca="false">IFERROR(H569/C569,0)</f>
        <v>796.322683342808</v>
      </c>
      <c r="R569" s="10" t="n">
        <f aca="false">IFERROR(I569/F569,0)</f>
        <v>0.613399037897454</v>
      </c>
      <c r="S569" s="10" t="n">
        <f aca="false">IFERROR(K569/J569,0)</f>
        <v>0.499567829750097</v>
      </c>
      <c r="T569" s="12" t="s">
        <v>30</v>
      </c>
    </row>
    <row r="570" customFormat="false" ht="15" hidden="false" customHeight="false" outlineLevel="0" collapsed="false">
      <c r="A570" s="9" t="s">
        <v>603</v>
      </c>
      <c r="B570" s="9" t="s">
        <v>26</v>
      </c>
      <c r="C570" s="9" t="n">
        <v>3501</v>
      </c>
      <c r="D570" s="9" t="n">
        <v>612</v>
      </c>
      <c r="E570" s="9" t="n">
        <v>1747</v>
      </c>
      <c r="F570" s="9" t="n">
        <v>23473</v>
      </c>
      <c r="G570" s="9" t="n">
        <v>22</v>
      </c>
      <c r="H570" s="9" t="n">
        <v>2816476.9</v>
      </c>
      <c r="I570" s="9" t="n">
        <v>14460</v>
      </c>
      <c r="J570" s="9" t="n">
        <v>641151</v>
      </c>
      <c r="K570" s="9" t="n">
        <v>599354</v>
      </c>
      <c r="L570" s="9" t="n">
        <v>1039</v>
      </c>
      <c r="M570" s="10" t="n">
        <f aca="false">IFERROR(D570/C570,0)</f>
        <v>0.174807197943445</v>
      </c>
      <c r="N570" s="10" t="n">
        <f aca="false">IFERROR(E570/C570,0)</f>
        <v>0.499000285632676</v>
      </c>
      <c r="O570" s="11" t="n">
        <f aca="false">IFERROR(F570/MAX(C570-D570,1),0)</f>
        <v>8.12495673243337</v>
      </c>
      <c r="P570" s="11" t="n">
        <f aca="false">IFERROR(F570/C570,0)</f>
        <v>6.70465581262496</v>
      </c>
      <c r="Q570" s="11" t="n">
        <f aca="false">IFERROR(H570/C570,0)</f>
        <v>804.477834904313</v>
      </c>
      <c r="R570" s="10" t="n">
        <f aca="false">IFERROR(I570/F570,0)</f>
        <v>0.616026924551613</v>
      </c>
      <c r="S570" s="10" t="n">
        <f aca="false">IFERROR(K570/J570,0)</f>
        <v>0.93480942866813</v>
      </c>
      <c r="T570" s="12" t="s">
        <v>30</v>
      </c>
    </row>
    <row r="571" customFormat="false" ht="15" hidden="false" customHeight="false" outlineLevel="0" collapsed="false">
      <c r="A571" s="3" t="s">
        <v>604</v>
      </c>
      <c r="B571" s="3" t="s">
        <v>29</v>
      </c>
      <c r="C571" s="3" t="n">
        <v>1323</v>
      </c>
      <c r="D571" s="3" t="n">
        <v>113</v>
      </c>
      <c r="E571" s="3" t="n">
        <v>559</v>
      </c>
      <c r="F571" s="3" t="n">
        <v>3503</v>
      </c>
      <c r="G571" s="3" t="n">
        <v>12</v>
      </c>
      <c r="H571" s="3" t="n">
        <v>841277.3</v>
      </c>
      <c r="I571" s="3" t="n">
        <v>694</v>
      </c>
      <c r="J571" s="3" t="n">
        <v>234894</v>
      </c>
      <c r="K571" s="3" t="n">
        <v>46813</v>
      </c>
      <c r="L571" s="3" t="n">
        <v>0</v>
      </c>
      <c r="M571" s="4" t="n">
        <f aca="false">IFERROR(D571/C571,0)</f>
        <v>0.0854119425547997</v>
      </c>
      <c r="N571" s="4" t="n">
        <f aca="false">IFERROR(E571/C571,0)</f>
        <v>0.422524565381708</v>
      </c>
      <c r="O571" s="5" t="n">
        <f aca="false">IFERROR(F571/MAX(C571-D571,1),0)</f>
        <v>2.89504132231405</v>
      </c>
      <c r="P571" s="5" t="n">
        <f aca="false">IFERROR(F571/C571,0)</f>
        <v>2.64777021919879</v>
      </c>
      <c r="Q571" s="5" t="n">
        <f aca="false">IFERROR(H571/C571,0)</f>
        <v>635.886092214664</v>
      </c>
      <c r="R571" s="4" t="n">
        <f aca="false">IFERROR(I571/F571,0)</f>
        <v>0.19811590065658</v>
      </c>
      <c r="S571" s="4" t="n">
        <f aca="false">IFERROR(K571/J571,0)</f>
        <v>0.199294149701568</v>
      </c>
      <c r="T571" s="6" t="s">
        <v>23</v>
      </c>
    </row>
    <row r="572" customFormat="false" ht="15" hidden="false" customHeight="false" outlineLevel="0" collapsed="false">
      <c r="A572" s="3" t="s">
        <v>605</v>
      </c>
      <c r="B572" s="3" t="s">
        <v>29</v>
      </c>
      <c r="C572" s="3" t="n">
        <v>3356</v>
      </c>
      <c r="D572" s="3" t="n">
        <v>244</v>
      </c>
      <c r="E572" s="3" t="n">
        <v>1408</v>
      </c>
      <c r="F572" s="3" t="n">
        <v>6470</v>
      </c>
      <c r="G572" s="3" t="n">
        <v>9</v>
      </c>
      <c r="H572" s="3" t="n">
        <v>1120827.8</v>
      </c>
      <c r="I572" s="3" t="n">
        <v>987</v>
      </c>
      <c r="J572" s="3" t="n">
        <v>339788</v>
      </c>
      <c r="K572" s="3" t="n">
        <v>57748</v>
      </c>
      <c r="L572" s="3" t="n">
        <v>0</v>
      </c>
      <c r="M572" s="4" t="n">
        <f aca="false">IFERROR(D572/C572,0)</f>
        <v>0.0727056019070322</v>
      </c>
      <c r="N572" s="4" t="n">
        <f aca="false">IFERROR(E572/C572,0)</f>
        <v>0.419547079856973</v>
      </c>
      <c r="O572" s="5" t="n">
        <f aca="false">IFERROR(F572/MAX(C572-D572,1),0)</f>
        <v>2.07904884318766</v>
      </c>
      <c r="P572" s="5" t="n">
        <f aca="false">IFERROR(F572/C572,0)</f>
        <v>1.92789034564958</v>
      </c>
      <c r="Q572" s="5" t="n">
        <f aca="false">IFERROR(H572/C572,0)</f>
        <v>333.977294398093</v>
      </c>
      <c r="R572" s="4" t="n">
        <f aca="false">IFERROR(I572/F572,0)</f>
        <v>0.152550231839258</v>
      </c>
      <c r="S572" s="4" t="n">
        <f aca="false">IFERROR(K572/J572,0)</f>
        <v>0.169953029536064</v>
      </c>
      <c r="T572" s="6" t="s">
        <v>23</v>
      </c>
    </row>
    <row r="573" customFormat="false" ht="15" hidden="false" customHeight="false" outlineLevel="0" collapsed="false">
      <c r="A573" s="3" t="s">
        <v>606</v>
      </c>
      <c r="B573" s="3" t="s">
        <v>29</v>
      </c>
      <c r="C573" s="3" t="n">
        <v>1789</v>
      </c>
      <c r="D573" s="3" t="n">
        <v>65</v>
      </c>
      <c r="E573" s="3" t="n">
        <v>593</v>
      </c>
      <c r="F573" s="3" t="n">
        <v>3999</v>
      </c>
      <c r="G573" s="3" t="n">
        <v>6</v>
      </c>
      <c r="H573" s="3" t="n">
        <v>1062665.5</v>
      </c>
      <c r="I573" s="3" t="n">
        <v>650</v>
      </c>
      <c r="J573" s="3" t="n">
        <v>250939</v>
      </c>
      <c r="K573" s="3" t="n">
        <v>38844</v>
      </c>
      <c r="L573" s="3" t="n">
        <v>0</v>
      </c>
      <c r="M573" s="4" t="n">
        <f aca="false">IFERROR(D573/C573,0)</f>
        <v>0.0363331470095025</v>
      </c>
      <c r="N573" s="4" t="n">
        <f aca="false">IFERROR(E573/C573,0)</f>
        <v>0.331470095025154</v>
      </c>
      <c r="O573" s="5" t="n">
        <f aca="false">IFERROR(F573/MAX(C573-D573,1),0)</f>
        <v>2.31960556844548</v>
      </c>
      <c r="P573" s="5" t="n">
        <f aca="false">IFERROR(F573/C573,0)</f>
        <v>2.23532699832309</v>
      </c>
      <c r="Q573" s="5" t="n">
        <f aca="false">IFERROR(H573/C573,0)</f>
        <v>593.999720514254</v>
      </c>
      <c r="R573" s="4" t="n">
        <f aca="false">IFERROR(I573/F573,0)</f>
        <v>0.16254063515879</v>
      </c>
      <c r="S573" s="4" t="n">
        <f aca="false">IFERROR(K573/J573,0)</f>
        <v>0.154794591514272</v>
      </c>
      <c r="T573" s="6" t="s">
        <v>23</v>
      </c>
    </row>
    <row r="574" customFormat="false" ht="15" hidden="false" customHeight="false" outlineLevel="0" collapsed="false">
      <c r="A574" s="9" t="s">
        <v>607</v>
      </c>
      <c r="B574" s="9" t="s">
        <v>22</v>
      </c>
      <c r="C574" s="9" t="n">
        <v>595</v>
      </c>
      <c r="D574" s="9" t="n">
        <v>266</v>
      </c>
      <c r="E574" s="9" t="n">
        <v>409</v>
      </c>
      <c r="F574" s="9" t="n">
        <v>4013</v>
      </c>
      <c r="G574" s="9" t="n">
        <v>20</v>
      </c>
      <c r="H574" s="9" t="n">
        <v>452805.2</v>
      </c>
      <c r="I574" s="9" t="n">
        <v>2278</v>
      </c>
      <c r="J574" s="9" t="n">
        <v>45305</v>
      </c>
      <c r="K574" s="9" t="n">
        <v>22758</v>
      </c>
      <c r="L574" s="9" t="n">
        <v>166</v>
      </c>
      <c r="M574" s="10" t="n">
        <f aca="false">IFERROR(D574/C574,0)</f>
        <v>0.447058823529412</v>
      </c>
      <c r="N574" s="10" t="n">
        <f aca="false">IFERROR(E574/C574,0)</f>
        <v>0.687394957983193</v>
      </c>
      <c r="O574" s="11" t="n">
        <f aca="false">IFERROR(F574/MAX(C574-D574,1),0)</f>
        <v>12.1975683890578</v>
      </c>
      <c r="P574" s="11" t="n">
        <f aca="false">IFERROR(F574/C574,0)</f>
        <v>6.74453781512605</v>
      </c>
      <c r="Q574" s="11" t="n">
        <f aca="false">IFERROR(H574/C574,0)</f>
        <v>761.017142857143</v>
      </c>
      <c r="R574" s="10" t="n">
        <f aca="false">IFERROR(I574/F574,0)</f>
        <v>0.567655120857214</v>
      </c>
      <c r="S574" s="10" t="n">
        <f aca="false">IFERROR(K574/J574,0)</f>
        <v>0.502328661295663</v>
      </c>
      <c r="T574" s="12" t="s">
        <v>30</v>
      </c>
    </row>
    <row r="575" customFormat="false" ht="15" hidden="false" customHeight="false" outlineLevel="0" collapsed="false">
      <c r="A575" s="3" t="s">
        <v>608</v>
      </c>
      <c r="B575" s="3" t="s">
        <v>22</v>
      </c>
      <c r="C575" s="3" t="n">
        <v>238</v>
      </c>
      <c r="D575" s="3" t="n">
        <v>27</v>
      </c>
      <c r="E575" s="3" t="n">
        <v>70</v>
      </c>
      <c r="F575" s="3" t="n">
        <v>672</v>
      </c>
      <c r="G575" s="3" t="n">
        <v>13</v>
      </c>
      <c r="H575" s="3" t="n">
        <v>139768.6</v>
      </c>
      <c r="I575" s="3" t="n">
        <v>128</v>
      </c>
      <c r="J575" s="3" t="n">
        <v>28461</v>
      </c>
      <c r="K575" s="3" t="n">
        <v>4339</v>
      </c>
      <c r="L575" s="3" t="n">
        <v>62</v>
      </c>
      <c r="M575" s="4" t="n">
        <f aca="false">IFERROR(D575/C575,0)</f>
        <v>0.113445378151261</v>
      </c>
      <c r="N575" s="4" t="n">
        <f aca="false">IFERROR(E575/C575,0)</f>
        <v>0.294117647058824</v>
      </c>
      <c r="O575" s="5" t="n">
        <f aca="false">IFERROR(F575/MAX(C575-D575,1),0)</f>
        <v>3.18483412322275</v>
      </c>
      <c r="P575" s="5" t="n">
        <f aca="false">IFERROR(F575/C575,0)</f>
        <v>2.82352941176471</v>
      </c>
      <c r="Q575" s="5" t="n">
        <f aca="false">IFERROR(H575/C575,0)</f>
        <v>587.263025210084</v>
      </c>
      <c r="R575" s="4" t="n">
        <f aca="false">IFERROR(I575/F575,0)</f>
        <v>0.19047619047619</v>
      </c>
      <c r="S575" s="4" t="n">
        <f aca="false">IFERROR(K575/J575,0)</f>
        <v>0.152454235620674</v>
      </c>
      <c r="T575" s="6" t="s">
        <v>23</v>
      </c>
    </row>
    <row r="576" customFormat="false" ht="15" hidden="false" customHeight="false" outlineLevel="0" collapsed="false">
      <c r="A576" s="3" t="s">
        <v>609</v>
      </c>
      <c r="B576" s="3" t="s">
        <v>22</v>
      </c>
      <c r="C576" s="3" t="n">
        <v>699</v>
      </c>
      <c r="D576" s="3" t="n">
        <v>46</v>
      </c>
      <c r="E576" s="3" t="n">
        <v>200</v>
      </c>
      <c r="F576" s="3" t="n">
        <v>1697</v>
      </c>
      <c r="G576" s="3" t="n">
        <v>11</v>
      </c>
      <c r="H576" s="3" t="n">
        <v>253964.1</v>
      </c>
      <c r="I576" s="3" t="n">
        <v>358</v>
      </c>
      <c r="J576" s="3" t="n">
        <v>80693</v>
      </c>
      <c r="K576" s="3" t="n">
        <v>12369</v>
      </c>
      <c r="L576" s="3" t="n">
        <v>226</v>
      </c>
      <c r="M576" s="4" t="n">
        <f aca="false">IFERROR(D576/C576,0)</f>
        <v>0.0658082975679542</v>
      </c>
      <c r="N576" s="4" t="n">
        <f aca="false">IFERROR(E576/C576,0)</f>
        <v>0.286123032904149</v>
      </c>
      <c r="O576" s="5" t="n">
        <f aca="false">IFERROR(F576/MAX(C576-D576,1),0)</f>
        <v>2.59877488514548</v>
      </c>
      <c r="P576" s="5" t="n">
        <f aca="false">IFERROR(F576/C576,0)</f>
        <v>2.4277539341917</v>
      </c>
      <c r="Q576" s="5" t="n">
        <f aca="false">IFERROR(H576/C576,0)</f>
        <v>363.324892703863</v>
      </c>
      <c r="R576" s="4" t="n">
        <f aca="false">IFERROR(I576/F576,0)</f>
        <v>0.210960518562169</v>
      </c>
      <c r="S576" s="4" t="n">
        <f aca="false">IFERROR(K576/J576,0)</f>
        <v>0.153284671532847</v>
      </c>
      <c r="T576" s="6" t="s">
        <v>23</v>
      </c>
    </row>
    <row r="577" customFormat="false" ht="15" hidden="false" customHeight="false" outlineLevel="0" collapsed="false">
      <c r="A577" s="3" t="s">
        <v>610</v>
      </c>
      <c r="B577" s="3" t="s">
        <v>26</v>
      </c>
      <c r="C577" s="3" t="n">
        <v>540</v>
      </c>
      <c r="D577" s="3" t="n">
        <v>37</v>
      </c>
      <c r="E577" s="3" t="n">
        <v>202</v>
      </c>
      <c r="F577" s="3" t="n">
        <v>892</v>
      </c>
      <c r="G577" s="3" t="n">
        <v>8</v>
      </c>
      <c r="H577" s="3" t="n">
        <v>149609.8</v>
      </c>
      <c r="I577" s="3" t="n">
        <v>205</v>
      </c>
      <c r="J577" s="3" t="n">
        <v>41660</v>
      </c>
      <c r="K577" s="3" t="n">
        <v>7113</v>
      </c>
      <c r="L577" s="3" t="n">
        <v>62</v>
      </c>
      <c r="M577" s="4" t="n">
        <f aca="false">IFERROR(D577/C577,0)</f>
        <v>0.0685185185185185</v>
      </c>
      <c r="N577" s="4" t="n">
        <f aca="false">IFERROR(E577/C577,0)</f>
        <v>0.374074074074074</v>
      </c>
      <c r="O577" s="5" t="n">
        <f aca="false">IFERROR(F577/MAX(C577-D577,1),0)</f>
        <v>1.77335984095427</v>
      </c>
      <c r="P577" s="5" t="n">
        <f aca="false">IFERROR(F577/C577,0)</f>
        <v>1.65185185185185</v>
      </c>
      <c r="Q577" s="5" t="n">
        <f aca="false">IFERROR(H577/C577,0)</f>
        <v>277.055185185185</v>
      </c>
      <c r="R577" s="4" t="n">
        <f aca="false">IFERROR(I577/F577,0)</f>
        <v>0.229820627802691</v>
      </c>
      <c r="S577" s="4" t="n">
        <f aca="false">IFERROR(K577/J577,0)</f>
        <v>0.170739318290927</v>
      </c>
      <c r="T577" s="6" t="s">
        <v>23</v>
      </c>
    </row>
    <row r="578" customFormat="false" ht="15" hidden="false" customHeight="false" outlineLevel="0" collapsed="false">
      <c r="A578" s="3" t="s">
        <v>611</v>
      </c>
      <c r="B578" s="3" t="s">
        <v>26</v>
      </c>
      <c r="C578" s="3" t="n">
        <v>3174</v>
      </c>
      <c r="D578" s="3" t="n">
        <v>461</v>
      </c>
      <c r="E578" s="3" t="n">
        <v>1376</v>
      </c>
      <c r="F578" s="3" t="n">
        <v>6687</v>
      </c>
      <c r="G578" s="3" t="n">
        <v>9</v>
      </c>
      <c r="H578" s="3" t="n">
        <v>925668.5</v>
      </c>
      <c r="I578" s="3" t="n">
        <v>1822</v>
      </c>
      <c r="J578" s="3" t="n">
        <v>319469</v>
      </c>
      <c r="K578" s="3" t="n">
        <v>68318</v>
      </c>
      <c r="L578" s="3" t="n">
        <v>939</v>
      </c>
      <c r="M578" s="4" t="n">
        <f aca="false">IFERROR(D578/C578,0)</f>
        <v>0.145242596093258</v>
      </c>
      <c r="N578" s="4" t="n">
        <f aca="false">IFERROR(E578/C578,0)</f>
        <v>0.433522369250158</v>
      </c>
      <c r="O578" s="5" t="n">
        <f aca="false">IFERROR(F578/MAX(C578-D578,1),0)</f>
        <v>2.46479911537044</v>
      </c>
      <c r="P578" s="5" t="n">
        <f aca="false">IFERROR(F578/C578,0)</f>
        <v>2.10680529300567</v>
      </c>
      <c r="Q578" s="5" t="n">
        <f aca="false">IFERROR(H578/C578,0)</f>
        <v>291.640989287965</v>
      </c>
      <c r="R578" s="4" t="n">
        <f aca="false">IFERROR(I578/F578,0)</f>
        <v>0.27246896964259</v>
      </c>
      <c r="S578" s="4" t="n">
        <f aca="false">IFERROR(K578/J578,0)</f>
        <v>0.21384860502897</v>
      </c>
      <c r="T578" s="6" t="s">
        <v>23</v>
      </c>
    </row>
    <row r="579" customFormat="false" ht="15" hidden="false" customHeight="false" outlineLevel="0" collapsed="false">
      <c r="A579" s="3" t="s">
        <v>612</v>
      </c>
      <c r="B579" s="3" t="s">
        <v>26</v>
      </c>
      <c r="C579" s="3" t="n">
        <v>1472</v>
      </c>
      <c r="D579" s="3" t="n">
        <v>211</v>
      </c>
      <c r="E579" s="3" t="n">
        <v>561</v>
      </c>
      <c r="F579" s="3" t="n">
        <v>4926</v>
      </c>
      <c r="G579" s="3" t="n">
        <v>13</v>
      </c>
      <c r="H579" s="3" t="n">
        <v>774673.3</v>
      </c>
      <c r="I579" s="3" t="n">
        <v>1056</v>
      </c>
      <c r="J579" s="3" t="n">
        <v>189898</v>
      </c>
      <c r="K579" s="3" t="n">
        <v>32178</v>
      </c>
      <c r="L579" s="3" t="n">
        <v>556</v>
      </c>
      <c r="M579" s="4" t="n">
        <f aca="false">IFERROR(D579/C579,0)</f>
        <v>0.143342391304348</v>
      </c>
      <c r="N579" s="4" t="n">
        <f aca="false">IFERROR(E579/C579,0)</f>
        <v>0.381114130434783</v>
      </c>
      <c r="O579" s="5" t="n">
        <f aca="false">IFERROR(F579/MAX(C579-D579,1),0)</f>
        <v>3.90642347343378</v>
      </c>
      <c r="P579" s="5" t="n">
        <f aca="false">IFERROR(F579/C579,0)</f>
        <v>3.34646739130435</v>
      </c>
      <c r="Q579" s="5" t="n">
        <f aca="false">IFERROR(H579/C579,0)</f>
        <v>526.272622282609</v>
      </c>
      <c r="R579" s="4" t="n">
        <f aca="false">IFERROR(I579/F579,0)</f>
        <v>0.214372716199756</v>
      </c>
      <c r="S579" s="4" t="n">
        <f aca="false">IFERROR(K579/J579,0)</f>
        <v>0.169448862020664</v>
      </c>
      <c r="T579" s="6" t="s">
        <v>23</v>
      </c>
    </row>
    <row r="580" customFormat="false" ht="15" hidden="false" customHeight="false" outlineLevel="0" collapsed="false">
      <c r="A580" s="3" t="s">
        <v>613</v>
      </c>
      <c r="B580" s="3" t="s">
        <v>26</v>
      </c>
      <c r="C580" s="3" t="n">
        <v>1026</v>
      </c>
      <c r="D580" s="3" t="n">
        <v>110</v>
      </c>
      <c r="E580" s="3" t="n">
        <v>368</v>
      </c>
      <c r="F580" s="3" t="n">
        <v>3751</v>
      </c>
      <c r="G580" s="3" t="n">
        <v>17</v>
      </c>
      <c r="H580" s="3" t="n">
        <v>478142.6</v>
      </c>
      <c r="I580" s="3" t="n">
        <v>1131</v>
      </c>
      <c r="J580" s="3" t="n">
        <v>138050</v>
      </c>
      <c r="K580" s="3" t="n">
        <v>28506</v>
      </c>
      <c r="L580" s="3" t="n">
        <v>297</v>
      </c>
      <c r="M580" s="4" t="n">
        <f aca="false">IFERROR(D580/C580,0)</f>
        <v>0.107212475633528</v>
      </c>
      <c r="N580" s="4" t="n">
        <f aca="false">IFERROR(E580/C580,0)</f>
        <v>0.358674463937622</v>
      </c>
      <c r="O580" s="5" t="n">
        <f aca="false">IFERROR(F580/MAX(C580-D580,1),0)</f>
        <v>4.09497816593887</v>
      </c>
      <c r="P580" s="5" t="n">
        <f aca="false">IFERROR(F580/C580,0)</f>
        <v>3.65594541910331</v>
      </c>
      <c r="Q580" s="5" t="n">
        <f aca="false">IFERROR(H580/C580,0)</f>
        <v>466.025925925926</v>
      </c>
      <c r="R580" s="4" t="n">
        <f aca="false">IFERROR(I580/F580,0)</f>
        <v>0.301519594774727</v>
      </c>
      <c r="S580" s="4" t="n">
        <f aca="false">IFERROR(K580/J580,0)</f>
        <v>0.206490402028251</v>
      </c>
      <c r="T580" s="6" t="s">
        <v>23</v>
      </c>
    </row>
    <row r="581" customFormat="false" ht="15" hidden="false" customHeight="false" outlineLevel="0" collapsed="false">
      <c r="A581" s="9" t="s">
        <v>614</v>
      </c>
      <c r="B581" s="9" t="s">
        <v>22</v>
      </c>
      <c r="C581" s="9" t="n">
        <v>1167</v>
      </c>
      <c r="D581" s="9" t="n">
        <v>290</v>
      </c>
      <c r="E581" s="9" t="n">
        <v>540</v>
      </c>
      <c r="F581" s="9" t="n">
        <v>7554</v>
      </c>
      <c r="G581" s="9" t="n">
        <v>18</v>
      </c>
      <c r="H581" s="9" t="n">
        <v>1033471.6</v>
      </c>
      <c r="I581" s="9" t="n">
        <v>3737</v>
      </c>
      <c r="J581" s="9" t="n">
        <v>174494</v>
      </c>
      <c r="K581" s="9" t="n">
        <v>134882</v>
      </c>
      <c r="L581" s="9" t="n">
        <v>484</v>
      </c>
      <c r="M581" s="10" t="n">
        <f aca="false">IFERROR(D581/C581,0)</f>
        <v>0.248500428449015</v>
      </c>
      <c r="N581" s="10" t="n">
        <f aca="false">IFERROR(E581/C581,0)</f>
        <v>0.462724935732648</v>
      </c>
      <c r="O581" s="11" t="n">
        <f aca="false">IFERROR(F581/MAX(C581-D581,1),0)</f>
        <v>8.61345496009122</v>
      </c>
      <c r="P581" s="11" t="n">
        <f aca="false">IFERROR(F581/C581,0)</f>
        <v>6.47300771208226</v>
      </c>
      <c r="Q581" s="11" t="n">
        <f aca="false">IFERROR(H581/C581,0)</f>
        <v>885.579777206512</v>
      </c>
      <c r="R581" s="10" t="n">
        <f aca="false">IFERROR(I581/F581,0)</f>
        <v>0.494704792163092</v>
      </c>
      <c r="S581" s="10" t="n">
        <f aca="false">IFERROR(K581/J581,0)</f>
        <v>0.772989329145988</v>
      </c>
      <c r="T581" s="12" t="s">
        <v>30</v>
      </c>
    </row>
    <row r="582" customFormat="false" ht="15" hidden="false" customHeight="false" outlineLevel="0" collapsed="false">
      <c r="A582" s="9" t="s">
        <v>615</v>
      </c>
      <c r="B582" s="9" t="s">
        <v>26</v>
      </c>
      <c r="C582" s="9" t="n">
        <v>3929</v>
      </c>
      <c r="D582" s="9" t="n">
        <v>1330</v>
      </c>
      <c r="E582" s="9" t="n">
        <v>2184</v>
      </c>
      <c r="F582" s="9" t="n">
        <v>33392</v>
      </c>
      <c r="G582" s="9" t="n">
        <v>27</v>
      </c>
      <c r="H582" s="9" t="n">
        <v>4816012.3</v>
      </c>
      <c r="I582" s="9" t="n">
        <v>21455</v>
      </c>
      <c r="J582" s="9" t="n">
        <v>497054</v>
      </c>
      <c r="K582" s="9" t="n">
        <v>336982</v>
      </c>
      <c r="L582" s="9" t="n">
        <v>639</v>
      </c>
      <c r="M582" s="10" t="n">
        <f aca="false">IFERROR(D582/C582,0)</f>
        <v>0.338508526342581</v>
      </c>
      <c r="N582" s="10" t="n">
        <f aca="false">IFERROR(E582/C582,0)</f>
        <v>0.555866632730975</v>
      </c>
      <c r="O582" s="11" t="n">
        <f aca="false">IFERROR(F582/MAX(C582-D582,1),0)</f>
        <v>12.8480184686418</v>
      </c>
      <c r="P582" s="11" t="n">
        <f aca="false">IFERROR(F582/C582,0)</f>
        <v>8.49885467039959</v>
      </c>
      <c r="Q582" s="11" t="n">
        <f aca="false">IFERROR(H582/C582,0)</f>
        <v>1225.76032069229</v>
      </c>
      <c r="R582" s="10" t="n">
        <f aca="false">IFERROR(I582/F582,0)</f>
        <v>0.642519166267369</v>
      </c>
      <c r="S582" s="10" t="n">
        <f aca="false">IFERROR(K582/J582,0)</f>
        <v>0.677958531668591</v>
      </c>
      <c r="T582" s="12" t="s">
        <v>30</v>
      </c>
    </row>
    <row r="583" customFormat="false" ht="15" hidden="false" customHeight="false" outlineLevel="0" collapsed="false">
      <c r="A583" s="9" t="s">
        <v>616</v>
      </c>
      <c r="B583" s="9" t="s">
        <v>22</v>
      </c>
      <c r="C583" s="9" t="n">
        <v>1201</v>
      </c>
      <c r="D583" s="9" t="n">
        <v>393</v>
      </c>
      <c r="E583" s="9" t="n">
        <v>581</v>
      </c>
      <c r="F583" s="9" t="n">
        <v>8626</v>
      </c>
      <c r="G583" s="9" t="n">
        <v>15</v>
      </c>
      <c r="H583" s="9" t="n">
        <v>710524.3</v>
      </c>
      <c r="I583" s="9" t="n">
        <v>3019</v>
      </c>
      <c r="J583" s="9" t="n">
        <v>184637</v>
      </c>
      <c r="K583" s="9" t="n">
        <v>102368</v>
      </c>
      <c r="L583" s="9" t="n">
        <v>381</v>
      </c>
      <c r="M583" s="10" t="n">
        <f aca="false">IFERROR(D583/C583,0)</f>
        <v>0.327227310574521</v>
      </c>
      <c r="N583" s="10" t="n">
        <f aca="false">IFERROR(E583/C583,0)</f>
        <v>0.483763530391341</v>
      </c>
      <c r="O583" s="11" t="n">
        <f aca="false">IFERROR(F583/MAX(C583-D583,1),0)</f>
        <v>10.6757425742574</v>
      </c>
      <c r="P583" s="11" t="n">
        <f aca="false">IFERROR(F583/C583,0)</f>
        <v>7.18234804329725</v>
      </c>
      <c r="Q583" s="11" t="n">
        <f aca="false">IFERROR(H583/C583,0)</f>
        <v>591.610574521232</v>
      </c>
      <c r="R583" s="10" t="n">
        <f aca="false">IFERROR(I583/F583,0)</f>
        <v>0.349988407141201</v>
      </c>
      <c r="S583" s="10" t="n">
        <f aca="false">IFERROR(K583/J583,0)</f>
        <v>0.554428419005941</v>
      </c>
      <c r="T583" s="12" t="s">
        <v>30</v>
      </c>
    </row>
    <row r="584" customFormat="false" ht="15" hidden="false" customHeight="false" outlineLevel="0" collapsed="false">
      <c r="A584" s="9" t="s">
        <v>617</v>
      </c>
      <c r="B584" s="9" t="s">
        <v>29</v>
      </c>
      <c r="C584" s="9" t="n">
        <v>1622</v>
      </c>
      <c r="D584" s="9" t="n">
        <v>546</v>
      </c>
      <c r="E584" s="9" t="n">
        <v>872</v>
      </c>
      <c r="F584" s="9" t="n">
        <v>14465</v>
      </c>
      <c r="G584" s="9" t="n">
        <v>31</v>
      </c>
      <c r="H584" s="9" t="n">
        <v>2212271.1</v>
      </c>
      <c r="I584" s="9" t="n">
        <v>10234</v>
      </c>
      <c r="J584" s="9" t="n">
        <v>253569</v>
      </c>
      <c r="K584" s="9" t="n">
        <v>218563</v>
      </c>
      <c r="L584" s="9" t="n">
        <v>0</v>
      </c>
      <c r="M584" s="10" t="n">
        <f aca="false">IFERROR(D584/C584,0)</f>
        <v>0.336621454993835</v>
      </c>
      <c r="N584" s="10" t="n">
        <f aca="false">IFERROR(E584/C584,0)</f>
        <v>0.537607891491985</v>
      </c>
      <c r="O584" s="11" t="n">
        <f aca="false">IFERROR(F584/MAX(C584-D584,1),0)</f>
        <v>13.4433085501859</v>
      </c>
      <c r="P584" s="11" t="n">
        <f aca="false">IFERROR(F584/C584,0)</f>
        <v>8.91800246609125</v>
      </c>
      <c r="Q584" s="11" t="n">
        <f aca="false">IFERROR(H584/C584,0)</f>
        <v>1363.91559802713</v>
      </c>
      <c r="R584" s="10" t="n">
        <f aca="false">IFERROR(I584/F584,0)</f>
        <v>0.707500864154857</v>
      </c>
      <c r="S584" s="10" t="n">
        <f aca="false">IFERROR(K584/J584,0)</f>
        <v>0.861946846814871</v>
      </c>
      <c r="T584" s="12" t="s">
        <v>30</v>
      </c>
    </row>
    <row r="585" customFormat="false" ht="15" hidden="false" customHeight="false" outlineLevel="0" collapsed="false">
      <c r="A585" s="3" t="s">
        <v>618</v>
      </c>
      <c r="B585" s="3" t="s">
        <v>22</v>
      </c>
      <c r="C585" s="3" t="n">
        <v>3512</v>
      </c>
      <c r="D585" s="3" t="n">
        <v>245</v>
      </c>
      <c r="E585" s="3" t="n">
        <v>1211</v>
      </c>
      <c r="F585" s="3" t="n">
        <v>9002</v>
      </c>
      <c r="G585" s="3" t="n">
        <v>11</v>
      </c>
      <c r="H585" s="3" t="n">
        <v>1372262.9</v>
      </c>
      <c r="I585" s="3" t="n">
        <v>1677</v>
      </c>
      <c r="J585" s="3" t="n">
        <v>285335</v>
      </c>
      <c r="K585" s="3" t="n">
        <v>43215</v>
      </c>
      <c r="L585" s="3" t="n">
        <v>726</v>
      </c>
      <c r="M585" s="4" t="n">
        <f aca="false">IFERROR(D585/C585,0)</f>
        <v>0.0697608200455581</v>
      </c>
      <c r="N585" s="4" t="n">
        <f aca="false">IFERROR(E585/C585,0)</f>
        <v>0.344817767653759</v>
      </c>
      <c r="O585" s="5" t="n">
        <f aca="false">IFERROR(F585/MAX(C585-D585,1),0)</f>
        <v>2.75543311906948</v>
      </c>
      <c r="P585" s="5" t="n">
        <f aca="false">IFERROR(F585/C585,0)</f>
        <v>2.56321184510251</v>
      </c>
      <c r="Q585" s="5" t="n">
        <f aca="false">IFERROR(H585/C585,0)</f>
        <v>390.735449886105</v>
      </c>
      <c r="R585" s="4" t="n">
        <f aca="false">IFERROR(I585/F585,0)</f>
        <v>0.186291935125528</v>
      </c>
      <c r="S585" s="4" t="n">
        <f aca="false">IFERROR(K585/J585,0)</f>
        <v>0.151453554593723</v>
      </c>
      <c r="T585" s="6" t="s">
        <v>23</v>
      </c>
    </row>
    <row r="586" customFormat="false" ht="15" hidden="false" customHeight="false" outlineLevel="0" collapsed="false">
      <c r="A586" s="3" t="s">
        <v>619</v>
      </c>
      <c r="B586" s="3" t="s">
        <v>29</v>
      </c>
      <c r="C586" s="3" t="n">
        <v>1288</v>
      </c>
      <c r="D586" s="3" t="n">
        <v>104</v>
      </c>
      <c r="E586" s="3" t="n">
        <v>322</v>
      </c>
      <c r="F586" s="3" t="n">
        <v>2557</v>
      </c>
      <c r="G586" s="3" t="n">
        <v>12</v>
      </c>
      <c r="H586" s="3" t="n">
        <v>369516.1</v>
      </c>
      <c r="I586" s="3" t="n">
        <v>585</v>
      </c>
      <c r="J586" s="3" t="n">
        <v>217778</v>
      </c>
      <c r="K586" s="3" t="n">
        <v>44137</v>
      </c>
      <c r="L586" s="3" t="n">
        <v>0</v>
      </c>
      <c r="M586" s="4" t="n">
        <f aca="false">IFERROR(D586/C586,0)</f>
        <v>0.0807453416149068</v>
      </c>
      <c r="N586" s="4" t="n">
        <f aca="false">IFERROR(E586/C586,0)</f>
        <v>0.25</v>
      </c>
      <c r="O586" s="5" t="n">
        <f aca="false">IFERROR(F586/MAX(C586-D586,1),0)</f>
        <v>2.15962837837838</v>
      </c>
      <c r="P586" s="5" t="n">
        <f aca="false">IFERROR(F586/C586,0)</f>
        <v>1.98524844720497</v>
      </c>
      <c r="Q586" s="5" t="n">
        <f aca="false">IFERROR(H586/C586,0)</f>
        <v>286.891381987578</v>
      </c>
      <c r="R586" s="4" t="n">
        <f aca="false">IFERROR(I586/F586,0)</f>
        <v>0.228783730934689</v>
      </c>
      <c r="S586" s="4" t="n">
        <f aca="false">IFERROR(K586/J586,0)</f>
        <v>0.202669691153376</v>
      </c>
      <c r="T586" s="6" t="s">
        <v>23</v>
      </c>
    </row>
    <row r="587" customFormat="false" ht="15" hidden="false" customHeight="false" outlineLevel="0" collapsed="false">
      <c r="A587" s="3" t="s">
        <v>620</v>
      </c>
      <c r="B587" s="3" t="s">
        <v>22</v>
      </c>
      <c r="C587" s="3" t="n">
        <v>531</v>
      </c>
      <c r="D587" s="3" t="n">
        <v>48</v>
      </c>
      <c r="E587" s="3" t="n">
        <v>173</v>
      </c>
      <c r="F587" s="3" t="n">
        <v>1218</v>
      </c>
      <c r="G587" s="3" t="n">
        <v>10</v>
      </c>
      <c r="H587" s="3" t="n">
        <v>287819.5</v>
      </c>
      <c r="I587" s="3" t="n">
        <v>206</v>
      </c>
      <c r="J587" s="3" t="n">
        <v>57241</v>
      </c>
      <c r="K587" s="3" t="n">
        <v>8074</v>
      </c>
      <c r="L587" s="3" t="n">
        <v>66</v>
      </c>
      <c r="M587" s="4" t="n">
        <f aca="false">IFERROR(D587/C587,0)</f>
        <v>0.0903954802259887</v>
      </c>
      <c r="N587" s="4" t="n">
        <f aca="false">IFERROR(E587/C587,0)</f>
        <v>0.325800376647834</v>
      </c>
      <c r="O587" s="5" t="n">
        <f aca="false">IFERROR(F587/MAX(C587-D587,1),0)</f>
        <v>2.52173913043478</v>
      </c>
      <c r="P587" s="5" t="n">
        <f aca="false">IFERROR(F587/C587,0)</f>
        <v>2.29378531073446</v>
      </c>
      <c r="Q587" s="5" t="n">
        <f aca="false">IFERROR(H587/C587,0)</f>
        <v>542.032956685499</v>
      </c>
      <c r="R587" s="4" t="n">
        <f aca="false">IFERROR(I587/F587,0)</f>
        <v>0.169129720853859</v>
      </c>
      <c r="S587" s="4" t="n">
        <f aca="false">IFERROR(K587/J587,0)</f>
        <v>0.14105274191576</v>
      </c>
      <c r="T587" s="6" t="s">
        <v>23</v>
      </c>
    </row>
    <row r="588" customFormat="false" ht="15" hidden="false" customHeight="false" outlineLevel="0" collapsed="false">
      <c r="A588" s="9" t="s">
        <v>621</v>
      </c>
      <c r="B588" s="9" t="s">
        <v>26</v>
      </c>
      <c r="C588" s="9" t="n">
        <v>2302</v>
      </c>
      <c r="D588" s="9" t="n">
        <v>289</v>
      </c>
      <c r="E588" s="9" t="n">
        <v>976</v>
      </c>
      <c r="F588" s="9" t="n">
        <v>11476</v>
      </c>
      <c r="G588" s="9" t="n">
        <v>21</v>
      </c>
      <c r="H588" s="9" t="n">
        <v>1405839.5</v>
      </c>
      <c r="I588" s="9" t="n">
        <v>6835</v>
      </c>
      <c r="J588" s="9" t="n">
        <v>199049</v>
      </c>
      <c r="K588" s="9" t="n">
        <v>170367</v>
      </c>
      <c r="L588" s="9" t="n">
        <v>332</v>
      </c>
      <c r="M588" s="10" t="n">
        <f aca="false">IFERROR(D588/C588,0)</f>
        <v>0.125543006081668</v>
      </c>
      <c r="N588" s="10" t="n">
        <f aca="false">IFERROR(E588/C588,0)</f>
        <v>0.423979148566464</v>
      </c>
      <c r="O588" s="11" t="n">
        <f aca="false">IFERROR(F588/MAX(C588-D588,1),0)</f>
        <v>5.70094386487829</v>
      </c>
      <c r="P588" s="11" t="n">
        <f aca="false">IFERROR(F588/C588,0)</f>
        <v>4.98523023457863</v>
      </c>
      <c r="Q588" s="11" t="n">
        <f aca="false">IFERROR(H588/C588,0)</f>
        <v>610.703518679409</v>
      </c>
      <c r="R588" s="10" t="n">
        <f aca="false">IFERROR(I588/F588,0)</f>
        <v>0.595590798187522</v>
      </c>
      <c r="S588" s="10" t="n">
        <f aca="false">IFERROR(K588/J588,0)</f>
        <v>0.855904827454546</v>
      </c>
      <c r="T588" s="12" t="s">
        <v>30</v>
      </c>
    </row>
    <row r="589" customFormat="false" ht="15" hidden="false" customHeight="false" outlineLevel="0" collapsed="false">
      <c r="A589" s="3" t="s">
        <v>622</v>
      </c>
      <c r="B589" s="3" t="s">
        <v>22</v>
      </c>
      <c r="C589" s="3" t="n">
        <v>727</v>
      </c>
      <c r="D589" s="3" t="n">
        <v>59</v>
      </c>
      <c r="E589" s="3" t="n">
        <v>221</v>
      </c>
      <c r="F589" s="3" t="n">
        <v>1325</v>
      </c>
      <c r="G589" s="3" t="n">
        <v>8</v>
      </c>
      <c r="H589" s="3" t="n">
        <v>238076.6</v>
      </c>
      <c r="I589" s="3" t="n">
        <v>301</v>
      </c>
      <c r="J589" s="3" t="n">
        <v>127011</v>
      </c>
      <c r="K589" s="3" t="n">
        <v>25745</v>
      </c>
      <c r="L589" s="3" t="n">
        <v>256</v>
      </c>
      <c r="M589" s="4" t="n">
        <f aca="false">IFERROR(D589/C589,0)</f>
        <v>0.0811554332874828</v>
      </c>
      <c r="N589" s="4" t="n">
        <f aca="false">IFERROR(E589/C589,0)</f>
        <v>0.303988995873453</v>
      </c>
      <c r="O589" s="5" t="n">
        <f aca="false">IFERROR(F589/MAX(C589-D589,1),0)</f>
        <v>1.98353293413174</v>
      </c>
      <c r="P589" s="5" t="n">
        <f aca="false">IFERROR(F589/C589,0)</f>
        <v>1.82255845942228</v>
      </c>
      <c r="Q589" s="5" t="n">
        <f aca="false">IFERROR(H589/C589,0)</f>
        <v>327.478129298487</v>
      </c>
      <c r="R589" s="4" t="n">
        <f aca="false">IFERROR(I589/F589,0)</f>
        <v>0.227169811320755</v>
      </c>
      <c r="S589" s="4" t="n">
        <f aca="false">IFERROR(K589/J589,0)</f>
        <v>0.202698978828605</v>
      </c>
      <c r="T589" s="6" t="s">
        <v>23</v>
      </c>
    </row>
    <row r="590" customFormat="false" ht="15" hidden="false" customHeight="false" outlineLevel="0" collapsed="false">
      <c r="A590" s="3" t="s">
        <v>623</v>
      </c>
      <c r="B590" s="3" t="s">
        <v>26</v>
      </c>
      <c r="C590" s="3" t="n">
        <v>2711</v>
      </c>
      <c r="D590" s="3" t="n">
        <v>93</v>
      </c>
      <c r="E590" s="3" t="n">
        <v>545</v>
      </c>
      <c r="F590" s="3" t="n">
        <v>4518</v>
      </c>
      <c r="G590" s="3" t="n">
        <v>5</v>
      </c>
      <c r="H590" s="3" t="n">
        <v>877904.8</v>
      </c>
      <c r="I590" s="3" t="n">
        <v>636</v>
      </c>
      <c r="J590" s="3" t="n">
        <v>485257</v>
      </c>
      <c r="K590" s="3" t="n">
        <v>78445</v>
      </c>
      <c r="L590" s="3" t="n">
        <v>473</v>
      </c>
      <c r="M590" s="4" t="n">
        <f aca="false">IFERROR(D590/C590,0)</f>
        <v>0.0343046846182221</v>
      </c>
      <c r="N590" s="4" t="n">
        <f aca="false">IFERROR(E590/C590,0)</f>
        <v>0.201032829214312</v>
      </c>
      <c r="O590" s="5" t="n">
        <f aca="false">IFERROR(F590/MAX(C590-D590,1),0)</f>
        <v>1.7257448433919</v>
      </c>
      <c r="P590" s="5" t="n">
        <f aca="false">IFERROR(F590/C590,0)</f>
        <v>1.66654371080782</v>
      </c>
      <c r="Q590" s="5" t="n">
        <f aca="false">IFERROR(H590/C590,0)</f>
        <v>323.830616008853</v>
      </c>
      <c r="R590" s="4" t="n">
        <f aca="false">IFERROR(I590/F590,0)</f>
        <v>0.140770252324037</v>
      </c>
      <c r="S590" s="4" t="n">
        <f aca="false">IFERROR(K590/J590,0)</f>
        <v>0.161656606705313</v>
      </c>
      <c r="T590" s="6" t="s">
        <v>23</v>
      </c>
    </row>
    <row r="591" customFormat="false" ht="15" hidden="false" customHeight="false" outlineLevel="0" collapsed="false">
      <c r="A591" s="3" t="s">
        <v>624</v>
      </c>
      <c r="B591" s="3" t="s">
        <v>26</v>
      </c>
      <c r="C591" s="3" t="n">
        <v>3321</v>
      </c>
      <c r="D591" s="3" t="n">
        <v>304</v>
      </c>
      <c r="E591" s="3" t="n">
        <v>952</v>
      </c>
      <c r="F591" s="3" t="n">
        <v>7479</v>
      </c>
      <c r="G591" s="3" t="n">
        <v>10</v>
      </c>
      <c r="H591" s="3" t="n">
        <v>2109167.3</v>
      </c>
      <c r="I591" s="3" t="n">
        <v>1743</v>
      </c>
      <c r="J591" s="3" t="n">
        <v>498281</v>
      </c>
      <c r="K591" s="3" t="n">
        <v>94415</v>
      </c>
      <c r="L591" s="3" t="n">
        <v>542</v>
      </c>
      <c r="M591" s="4" t="n">
        <f aca="false">IFERROR(D591/C591,0)</f>
        <v>0.0915386931647094</v>
      </c>
      <c r="N591" s="4" t="n">
        <f aca="false">IFERROR(E591/C591,0)</f>
        <v>0.286660644384222</v>
      </c>
      <c r="O591" s="5" t="n">
        <f aca="false">IFERROR(F591/MAX(C591-D591,1),0)</f>
        <v>2.47895260192244</v>
      </c>
      <c r="P591" s="5" t="n">
        <f aca="false">IFERROR(F591/C591,0)</f>
        <v>2.2520325203252</v>
      </c>
      <c r="Q591" s="5" t="n">
        <f aca="false">IFERROR(H591/C591,0)</f>
        <v>635.100060222824</v>
      </c>
      <c r="R591" s="4" t="n">
        <f aca="false">IFERROR(I591/F591,0)</f>
        <v>0.23305254713197</v>
      </c>
      <c r="S591" s="4" t="n">
        <f aca="false">IFERROR(K591/J591,0)</f>
        <v>0.189481437181028</v>
      </c>
      <c r="T591" s="6" t="s">
        <v>23</v>
      </c>
    </row>
    <row r="592" customFormat="false" ht="15" hidden="false" customHeight="false" outlineLevel="0" collapsed="false">
      <c r="A592" s="9" t="s">
        <v>625</v>
      </c>
      <c r="B592" s="9" t="s">
        <v>26</v>
      </c>
      <c r="C592" s="9" t="n">
        <v>550</v>
      </c>
      <c r="D592" s="9" t="n">
        <v>189</v>
      </c>
      <c r="E592" s="9" t="n">
        <v>365</v>
      </c>
      <c r="F592" s="9" t="n">
        <v>4771</v>
      </c>
      <c r="G592" s="9" t="n">
        <v>29</v>
      </c>
      <c r="H592" s="9" t="n">
        <v>522012.9</v>
      </c>
      <c r="I592" s="9" t="n">
        <v>3819</v>
      </c>
      <c r="J592" s="9" t="n">
        <v>96842</v>
      </c>
      <c r="K592" s="9" t="n">
        <v>90706</v>
      </c>
      <c r="L592" s="9" t="n">
        <v>215</v>
      </c>
      <c r="M592" s="10" t="n">
        <f aca="false">IFERROR(D592/C592,0)</f>
        <v>0.343636363636364</v>
      </c>
      <c r="N592" s="10" t="n">
        <f aca="false">IFERROR(E592/C592,0)</f>
        <v>0.663636363636364</v>
      </c>
      <c r="O592" s="11" t="n">
        <f aca="false">IFERROR(F592/MAX(C592-D592,1),0)</f>
        <v>13.2160664819945</v>
      </c>
      <c r="P592" s="11" t="n">
        <f aca="false">IFERROR(F592/C592,0)</f>
        <v>8.67454545454545</v>
      </c>
      <c r="Q592" s="11" t="n">
        <f aca="false">IFERROR(H592/C592,0)</f>
        <v>949.114363636364</v>
      </c>
      <c r="R592" s="10" t="n">
        <f aca="false">IFERROR(I592/F592,0)</f>
        <v>0.800461119262209</v>
      </c>
      <c r="S592" s="10" t="n">
        <f aca="false">IFERROR(K592/J592,0)</f>
        <v>0.936639061564197</v>
      </c>
      <c r="T592" s="12" t="s">
        <v>30</v>
      </c>
    </row>
    <row r="593" customFormat="false" ht="15" hidden="false" customHeight="false" outlineLevel="0" collapsed="false">
      <c r="A593" s="3" t="s">
        <v>626</v>
      </c>
      <c r="B593" s="3" t="s">
        <v>26</v>
      </c>
      <c r="C593" s="3" t="n">
        <v>1882</v>
      </c>
      <c r="D593" s="3" t="n">
        <v>257</v>
      </c>
      <c r="E593" s="3" t="n">
        <v>738</v>
      </c>
      <c r="F593" s="3" t="n">
        <v>6829</v>
      </c>
      <c r="G593" s="3" t="n">
        <v>14</v>
      </c>
      <c r="H593" s="3" t="n">
        <v>787634.7</v>
      </c>
      <c r="I593" s="3" t="n">
        <v>1468</v>
      </c>
      <c r="J593" s="3" t="n">
        <v>221012</v>
      </c>
      <c r="K593" s="3" t="n">
        <v>49727</v>
      </c>
      <c r="L593" s="3" t="n">
        <v>352</v>
      </c>
      <c r="M593" s="4" t="n">
        <f aca="false">IFERROR(D593/C593,0)</f>
        <v>0.136556854410202</v>
      </c>
      <c r="N593" s="4" t="n">
        <f aca="false">IFERROR(E593/C593,0)</f>
        <v>0.392136025504782</v>
      </c>
      <c r="O593" s="5" t="n">
        <f aca="false">IFERROR(F593/MAX(C593-D593,1),0)</f>
        <v>4.20246153846154</v>
      </c>
      <c r="P593" s="5" t="n">
        <f aca="false">IFERROR(F593/C593,0)</f>
        <v>3.62858660998937</v>
      </c>
      <c r="Q593" s="5" t="n">
        <f aca="false">IFERROR(H593/C593,0)</f>
        <v>418.509404888417</v>
      </c>
      <c r="R593" s="4" t="n">
        <f aca="false">IFERROR(I593/F593,0)</f>
        <v>0.214965587933812</v>
      </c>
      <c r="S593" s="4" t="n">
        <f aca="false">IFERROR(K593/J593,0)</f>
        <v>0.224996832751163</v>
      </c>
      <c r="T593" s="6" t="s">
        <v>23</v>
      </c>
    </row>
    <row r="594" customFormat="false" ht="15" hidden="false" customHeight="false" outlineLevel="0" collapsed="false">
      <c r="A594" s="3" t="s">
        <v>627</v>
      </c>
      <c r="B594" s="3" t="s">
        <v>26</v>
      </c>
      <c r="C594" s="3" t="n">
        <v>3566</v>
      </c>
      <c r="D594" s="3" t="n">
        <v>294</v>
      </c>
      <c r="E594" s="3" t="n">
        <v>1208</v>
      </c>
      <c r="F594" s="3" t="n">
        <v>8867</v>
      </c>
      <c r="G594" s="3" t="n">
        <v>11</v>
      </c>
      <c r="H594" s="3" t="n">
        <v>1799110.2</v>
      </c>
      <c r="I594" s="3" t="n">
        <v>1957</v>
      </c>
      <c r="J594" s="3" t="n">
        <v>606069</v>
      </c>
      <c r="K594" s="3" t="n">
        <v>90268</v>
      </c>
      <c r="L594" s="3" t="n">
        <v>1189</v>
      </c>
      <c r="M594" s="4" t="n">
        <f aca="false">IFERROR(D594/C594,0)</f>
        <v>0.0824453168816601</v>
      </c>
      <c r="N594" s="4" t="n">
        <f aca="false">IFERROR(E594/C594,0)</f>
        <v>0.338754907459338</v>
      </c>
      <c r="O594" s="5" t="n">
        <f aca="false">IFERROR(F594/MAX(C594-D594,1),0)</f>
        <v>2.70996332518337</v>
      </c>
      <c r="P594" s="5" t="n">
        <f aca="false">IFERROR(F594/C594,0)</f>
        <v>2.48653954010095</v>
      </c>
      <c r="Q594" s="5" t="n">
        <f aca="false">IFERROR(H594/C594,0)</f>
        <v>504.517722938867</v>
      </c>
      <c r="R594" s="4" t="n">
        <f aca="false">IFERROR(I594/F594,0)</f>
        <v>0.220705988496673</v>
      </c>
      <c r="S594" s="4" t="n">
        <f aca="false">IFERROR(K594/J594,0)</f>
        <v>0.1489401371791</v>
      </c>
      <c r="T594" s="6" t="s">
        <v>23</v>
      </c>
    </row>
    <row r="595" customFormat="false" ht="15" hidden="false" customHeight="false" outlineLevel="0" collapsed="false">
      <c r="A595" s="3" t="s">
        <v>628</v>
      </c>
      <c r="B595" s="3" t="s">
        <v>22</v>
      </c>
      <c r="C595" s="3" t="n">
        <v>2309</v>
      </c>
      <c r="D595" s="3" t="n">
        <v>268</v>
      </c>
      <c r="E595" s="3" t="n">
        <v>744</v>
      </c>
      <c r="F595" s="3" t="n">
        <v>8763</v>
      </c>
      <c r="G595" s="3" t="n">
        <v>16</v>
      </c>
      <c r="H595" s="3" t="n">
        <v>1080254.5</v>
      </c>
      <c r="I595" s="3" t="n">
        <v>2007</v>
      </c>
      <c r="J595" s="3" t="n">
        <v>285198</v>
      </c>
      <c r="K595" s="3" t="n">
        <v>65992</v>
      </c>
      <c r="L595" s="3" t="n">
        <v>866</v>
      </c>
      <c r="M595" s="4" t="n">
        <f aca="false">IFERROR(D595/C595,0)</f>
        <v>0.116067561715028</v>
      </c>
      <c r="N595" s="4" t="n">
        <f aca="false">IFERROR(E595/C595,0)</f>
        <v>0.322217410134257</v>
      </c>
      <c r="O595" s="5" t="n">
        <f aca="false">IFERROR(F595/MAX(C595-D595,1),0)</f>
        <v>4.29348358647722</v>
      </c>
      <c r="P595" s="5" t="n">
        <f aca="false">IFERROR(F595/C595,0)</f>
        <v>3.79514941533131</v>
      </c>
      <c r="Q595" s="5" t="n">
        <f aca="false">IFERROR(H595/C595,0)</f>
        <v>467.845171069727</v>
      </c>
      <c r="R595" s="4" t="n">
        <f aca="false">IFERROR(I595/F595,0)</f>
        <v>0.229031153714481</v>
      </c>
      <c r="S595" s="4" t="n">
        <f aca="false">IFERROR(K595/J595,0)</f>
        <v>0.231390121950364</v>
      </c>
      <c r="T595" s="6" t="s">
        <v>23</v>
      </c>
    </row>
    <row r="596" customFormat="false" ht="15" hidden="false" customHeight="false" outlineLevel="0" collapsed="false">
      <c r="A596" s="3" t="s">
        <v>629</v>
      </c>
      <c r="B596" s="3" t="s">
        <v>22</v>
      </c>
      <c r="C596" s="3" t="n">
        <v>3903</v>
      </c>
      <c r="D596" s="3" t="n">
        <v>215</v>
      </c>
      <c r="E596" s="3" t="n">
        <v>951</v>
      </c>
      <c r="F596" s="3" t="n">
        <v>6289</v>
      </c>
      <c r="G596" s="3" t="n">
        <v>4</v>
      </c>
      <c r="H596" s="3" t="n">
        <v>1854661.8</v>
      </c>
      <c r="I596" s="3" t="n">
        <v>1096</v>
      </c>
      <c r="J596" s="3" t="n">
        <v>474774</v>
      </c>
      <c r="K596" s="3" t="n">
        <v>65151</v>
      </c>
      <c r="L596" s="3" t="n">
        <v>1312</v>
      </c>
      <c r="M596" s="4" t="n">
        <f aca="false">IFERROR(D596/C596,0)</f>
        <v>0.0550858314117346</v>
      </c>
      <c r="N596" s="4" t="n">
        <f aca="false">IFERROR(E596/C596,0)</f>
        <v>0.243658724058417</v>
      </c>
      <c r="O596" s="5" t="n">
        <f aca="false">IFERROR(F596/MAX(C596-D596,1),0)</f>
        <v>1.70526030368764</v>
      </c>
      <c r="P596" s="5" t="n">
        <f aca="false">IFERROR(F596/C596,0)</f>
        <v>1.61132462208558</v>
      </c>
      <c r="Q596" s="5" t="n">
        <f aca="false">IFERROR(H596/C596,0)</f>
        <v>475.188777863182</v>
      </c>
      <c r="R596" s="4" t="n">
        <f aca="false">IFERROR(I596/F596,0)</f>
        <v>0.174272539354428</v>
      </c>
      <c r="S596" s="4" t="n">
        <f aca="false">IFERROR(K596/J596,0)</f>
        <v>0.137225290348671</v>
      </c>
      <c r="T596" s="6" t="s">
        <v>23</v>
      </c>
    </row>
    <row r="597" customFormat="false" ht="15" hidden="false" customHeight="false" outlineLevel="0" collapsed="false">
      <c r="A597" s="9" t="s">
        <v>630</v>
      </c>
      <c r="B597" s="9" t="s">
        <v>29</v>
      </c>
      <c r="C597" s="9" t="n">
        <v>739</v>
      </c>
      <c r="D597" s="9" t="n">
        <v>232</v>
      </c>
      <c r="E597" s="9" t="n">
        <v>380</v>
      </c>
      <c r="F597" s="9" t="n">
        <v>6093</v>
      </c>
      <c r="G597" s="9" t="n">
        <v>28</v>
      </c>
      <c r="H597" s="9" t="n">
        <v>730590.1</v>
      </c>
      <c r="I597" s="9" t="n">
        <v>4262</v>
      </c>
      <c r="J597" s="9" t="n">
        <v>87520</v>
      </c>
      <c r="K597" s="9" t="n">
        <v>72895</v>
      </c>
      <c r="L597" s="9" t="n">
        <v>0</v>
      </c>
      <c r="M597" s="10" t="n">
        <f aca="false">IFERROR(D597/C597,0)</f>
        <v>0.313937753721245</v>
      </c>
      <c r="N597" s="10" t="n">
        <f aca="false">IFERROR(E597/C597,0)</f>
        <v>0.514208389715832</v>
      </c>
      <c r="O597" s="11" t="n">
        <f aca="false">IFERROR(F597/MAX(C597-D597,1),0)</f>
        <v>12.0177514792899</v>
      </c>
      <c r="P597" s="11" t="n">
        <f aca="false">IFERROR(F597/C597,0)</f>
        <v>8.24492557510149</v>
      </c>
      <c r="Q597" s="11" t="n">
        <f aca="false">IFERROR(H597/C597,0)</f>
        <v>988.619891745602</v>
      </c>
      <c r="R597" s="10" t="n">
        <f aca="false">IFERROR(I597/F597,0)</f>
        <v>0.699491219432135</v>
      </c>
      <c r="S597" s="10" t="n">
        <f aca="false">IFERROR(K597/J597,0)</f>
        <v>0.83289533820841</v>
      </c>
      <c r="T597" s="12" t="s">
        <v>30</v>
      </c>
    </row>
    <row r="598" customFormat="false" ht="15" hidden="false" customHeight="false" outlineLevel="0" collapsed="false">
      <c r="A598" s="3" t="s">
        <v>631</v>
      </c>
      <c r="B598" s="3" t="s">
        <v>26</v>
      </c>
      <c r="C598" s="3" t="n">
        <v>1984</v>
      </c>
      <c r="D598" s="3" t="n">
        <v>317</v>
      </c>
      <c r="E598" s="3" t="n">
        <v>926</v>
      </c>
      <c r="F598" s="3" t="n">
        <v>4923</v>
      </c>
      <c r="G598" s="3" t="n">
        <v>9</v>
      </c>
      <c r="H598" s="3" t="n">
        <v>1078103.8</v>
      </c>
      <c r="I598" s="3" t="n">
        <v>1529</v>
      </c>
      <c r="J598" s="3" t="n">
        <v>187954</v>
      </c>
      <c r="K598" s="3" t="n">
        <v>46046</v>
      </c>
      <c r="L598" s="3" t="n">
        <v>950</v>
      </c>
      <c r="M598" s="4" t="n">
        <f aca="false">IFERROR(D598/C598,0)</f>
        <v>0.159778225806452</v>
      </c>
      <c r="N598" s="4" t="n">
        <f aca="false">IFERROR(E598/C598,0)</f>
        <v>0.466733870967742</v>
      </c>
      <c r="O598" s="5" t="n">
        <f aca="false">IFERROR(F598/MAX(C598-D598,1),0)</f>
        <v>2.95320935812837</v>
      </c>
      <c r="P598" s="5" t="n">
        <f aca="false">IFERROR(F598/C598,0)</f>
        <v>2.48135080645161</v>
      </c>
      <c r="Q598" s="5" t="n">
        <f aca="false">IFERROR(H598/C598,0)</f>
        <v>543.399092741936</v>
      </c>
      <c r="R598" s="4" t="n">
        <f aca="false">IFERROR(I598/F598,0)</f>
        <v>0.310582977859029</v>
      </c>
      <c r="S598" s="4" t="n">
        <f aca="false">IFERROR(K598/J598,0)</f>
        <v>0.244985475169456</v>
      </c>
      <c r="T598" s="6" t="s">
        <v>23</v>
      </c>
    </row>
    <row r="599" customFormat="false" ht="15" hidden="false" customHeight="false" outlineLevel="0" collapsed="false">
      <c r="A599" s="9" t="s">
        <v>632</v>
      </c>
      <c r="B599" s="9" t="s">
        <v>26</v>
      </c>
      <c r="C599" s="9" t="n">
        <v>3240</v>
      </c>
      <c r="D599" s="9" t="n">
        <v>1102</v>
      </c>
      <c r="E599" s="9" t="n">
        <v>1989</v>
      </c>
      <c r="F599" s="9" t="n">
        <v>33058</v>
      </c>
      <c r="G599" s="9" t="n">
        <v>25</v>
      </c>
      <c r="H599" s="9" t="n">
        <v>2531704.9</v>
      </c>
      <c r="I599" s="9" t="n">
        <v>23312</v>
      </c>
      <c r="J599" s="9" t="n">
        <v>370415</v>
      </c>
      <c r="K599" s="9" t="n">
        <v>234048</v>
      </c>
      <c r="L599" s="9" t="n">
        <v>448</v>
      </c>
      <c r="M599" s="10" t="n">
        <f aca="false">IFERROR(D599/C599,0)</f>
        <v>0.340123456790123</v>
      </c>
      <c r="N599" s="10" t="n">
        <f aca="false">IFERROR(E599/C599,0)</f>
        <v>0.613888888888889</v>
      </c>
      <c r="O599" s="11" t="n">
        <f aca="false">IFERROR(F599/MAX(C599-D599,1),0)</f>
        <v>15.4621141253508</v>
      </c>
      <c r="P599" s="11" t="n">
        <f aca="false">IFERROR(F599/C599,0)</f>
        <v>10.2030864197531</v>
      </c>
      <c r="Q599" s="11" t="n">
        <f aca="false">IFERROR(H599/C599,0)</f>
        <v>781.390401234568</v>
      </c>
      <c r="R599" s="10" t="n">
        <f aca="false">IFERROR(I599/F599,0)</f>
        <v>0.70518482666828</v>
      </c>
      <c r="S599" s="10" t="n">
        <f aca="false">IFERROR(K599/J599,0)</f>
        <v>0.63185346165787</v>
      </c>
      <c r="T599" s="12" t="s">
        <v>30</v>
      </c>
    </row>
    <row r="600" customFormat="false" ht="15" hidden="false" customHeight="false" outlineLevel="0" collapsed="false">
      <c r="A600" s="3" t="s">
        <v>633</v>
      </c>
      <c r="B600" s="3" t="s">
        <v>29</v>
      </c>
      <c r="C600" s="3" t="n">
        <v>2951</v>
      </c>
      <c r="D600" s="3" t="n">
        <v>376</v>
      </c>
      <c r="E600" s="3" t="n">
        <v>906</v>
      </c>
      <c r="F600" s="3" t="n">
        <v>9686</v>
      </c>
      <c r="G600" s="3" t="n">
        <v>14</v>
      </c>
      <c r="H600" s="3" t="n">
        <v>1437627.8</v>
      </c>
      <c r="I600" s="3" t="n">
        <v>1776</v>
      </c>
      <c r="J600" s="3" t="n">
        <v>254224</v>
      </c>
      <c r="K600" s="3" t="n">
        <v>75479</v>
      </c>
      <c r="L600" s="3" t="n">
        <v>0</v>
      </c>
      <c r="M600" s="4" t="n">
        <f aca="false">IFERROR(D600/C600,0)</f>
        <v>0.12741443578448</v>
      </c>
      <c r="N600" s="4" t="n">
        <f aca="false">IFERROR(E600/C600,0)</f>
        <v>0.307014571331752</v>
      </c>
      <c r="O600" s="5" t="n">
        <f aca="false">IFERROR(F600/MAX(C600-D600,1),0)</f>
        <v>3.76155339805825</v>
      </c>
      <c r="P600" s="5" t="n">
        <f aca="false">IFERROR(F600/C600,0)</f>
        <v>3.28227719417147</v>
      </c>
      <c r="Q600" s="5" t="n">
        <f aca="false">IFERROR(H600/C600,0)</f>
        <v>487.16631650288</v>
      </c>
      <c r="R600" s="4" t="n">
        <f aca="false">IFERROR(I600/F600,0)</f>
        <v>0.183357423084865</v>
      </c>
      <c r="S600" s="4" t="n">
        <f aca="false">IFERROR(K600/J600,0)</f>
        <v>0.296899584618289</v>
      </c>
      <c r="T600" s="6" t="s">
        <v>23</v>
      </c>
    </row>
    <row r="601" customFormat="false" ht="15" hidden="false" customHeight="false" outlineLevel="0" collapsed="false">
      <c r="A601" s="3" t="s">
        <v>634</v>
      </c>
      <c r="B601" s="3" t="s">
        <v>29</v>
      </c>
      <c r="C601" s="3" t="n">
        <v>723</v>
      </c>
      <c r="D601" s="3" t="n">
        <v>41</v>
      </c>
      <c r="E601" s="3" t="n">
        <v>206</v>
      </c>
      <c r="F601" s="3" t="n">
        <v>1684</v>
      </c>
      <c r="G601" s="3" t="n">
        <v>9</v>
      </c>
      <c r="H601" s="3" t="n">
        <v>315868.6</v>
      </c>
      <c r="I601" s="3" t="n">
        <v>325</v>
      </c>
      <c r="J601" s="3" t="n">
        <v>128043</v>
      </c>
      <c r="K601" s="3" t="n">
        <v>29854</v>
      </c>
      <c r="L601" s="3" t="n">
        <v>0</v>
      </c>
      <c r="M601" s="4" t="n">
        <f aca="false">IFERROR(D601/C601,0)</f>
        <v>0.0567081604426003</v>
      </c>
      <c r="N601" s="4" t="n">
        <f aca="false">IFERROR(E601/C601,0)</f>
        <v>0.284923928077455</v>
      </c>
      <c r="O601" s="5" t="n">
        <f aca="false">IFERROR(F601/MAX(C601-D601,1),0)</f>
        <v>2.4692082111437</v>
      </c>
      <c r="P601" s="5" t="n">
        <f aca="false">IFERROR(F601/C601,0)</f>
        <v>2.32918395573997</v>
      </c>
      <c r="Q601" s="5" t="n">
        <f aca="false">IFERROR(H601/C601,0)</f>
        <v>436.886030428769</v>
      </c>
      <c r="R601" s="4" t="n">
        <f aca="false">IFERROR(I601/F601,0)</f>
        <v>0.192992874109264</v>
      </c>
      <c r="S601" s="4" t="n">
        <f aca="false">IFERROR(K601/J601,0)</f>
        <v>0.233156049139742</v>
      </c>
      <c r="T601" s="6" t="s">
        <v>23</v>
      </c>
    </row>
    <row r="602" customFormat="false" ht="15" hidden="false" customHeight="false" outlineLevel="0" collapsed="false">
      <c r="A602" s="3" t="s">
        <v>635</v>
      </c>
      <c r="B602" s="3" t="s">
        <v>26</v>
      </c>
      <c r="C602" s="3" t="n">
        <v>1677</v>
      </c>
      <c r="D602" s="3" t="n">
        <v>214</v>
      </c>
      <c r="E602" s="3" t="n">
        <v>598</v>
      </c>
      <c r="F602" s="3" t="n">
        <v>4088</v>
      </c>
      <c r="G602" s="3" t="n">
        <v>12</v>
      </c>
      <c r="H602" s="3" t="n">
        <v>578317.7</v>
      </c>
      <c r="I602" s="3" t="n">
        <v>475</v>
      </c>
      <c r="J602" s="3" t="n">
        <v>137048</v>
      </c>
      <c r="K602" s="3" t="n">
        <v>25423</v>
      </c>
      <c r="L602" s="3" t="n">
        <v>708</v>
      </c>
      <c r="M602" s="4" t="n">
        <f aca="false">IFERROR(D602/C602,0)</f>
        <v>0.127608825283244</v>
      </c>
      <c r="N602" s="4" t="n">
        <f aca="false">IFERROR(E602/C602,0)</f>
        <v>0.356589147286822</v>
      </c>
      <c r="O602" s="5" t="n">
        <f aca="false">IFERROR(F602/MAX(C602-D602,1),0)</f>
        <v>2.79425837320574</v>
      </c>
      <c r="P602" s="5" t="n">
        <f aca="false">IFERROR(F602/C602,0)</f>
        <v>2.43768634466309</v>
      </c>
      <c r="Q602" s="5" t="n">
        <f aca="false">IFERROR(H602/C602,0)</f>
        <v>344.852534287418</v>
      </c>
      <c r="R602" s="4" t="n">
        <f aca="false">IFERROR(I602/F602,0)</f>
        <v>0.11619373776908</v>
      </c>
      <c r="S602" s="4" t="n">
        <f aca="false">IFERROR(K602/J602,0)</f>
        <v>0.185504348841282</v>
      </c>
      <c r="T602" s="6" t="s">
        <v>23</v>
      </c>
    </row>
    <row r="603" customFormat="false" ht="15" hidden="false" customHeight="false" outlineLevel="0" collapsed="false">
      <c r="A603" s="3" t="s">
        <v>636</v>
      </c>
      <c r="B603" s="3" t="s">
        <v>29</v>
      </c>
      <c r="C603" s="3" t="n">
        <v>1476</v>
      </c>
      <c r="D603" s="3" t="n">
        <v>144</v>
      </c>
      <c r="E603" s="3" t="n">
        <v>461</v>
      </c>
      <c r="F603" s="3" t="n">
        <v>4272</v>
      </c>
      <c r="G603" s="3" t="n">
        <v>12</v>
      </c>
      <c r="H603" s="3" t="n">
        <v>877945.7</v>
      </c>
      <c r="I603" s="3" t="n">
        <v>484</v>
      </c>
      <c r="J603" s="3" t="n">
        <v>161360</v>
      </c>
      <c r="K603" s="3" t="n">
        <v>38655</v>
      </c>
      <c r="L603" s="3" t="n">
        <v>0</v>
      </c>
      <c r="M603" s="4" t="n">
        <f aca="false">IFERROR(D603/C603,0)</f>
        <v>0.0975609756097561</v>
      </c>
      <c r="N603" s="4" t="n">
        <f aca="false">IFERROR(E603/C603,0)</f>
        <v>0.312330623306233</v>
      </c>
      <c r="O603" s="5" t="n">
        <f aca="false">IFERROR(F603/MAX(C603-D603,1),0)</f>
        <v>3.20720720720721</v>
      </c>
      <c r="P603" s="5" t="n">
        <f aca="false">IFERROR(F603/C603,0)</f>
        <v>2.89430894308943</v>
      </c>
      <c r="Q603" s="5" t="n">
        <f aca="false">IFERROR(H603/C603,0)</f>
        <v>594.814159891599</v>
      </c>
      <c r="R603" s="4" t="n">
        <f aca="false">IFERROR(I603/F603,0)</f>
        <v>0.113295880149813</v>
      </c>
      <c r="S603" s="4" t="n">
        <f aca="false">IFERROR(K603/J603,0)</f>
        <v>0.239557511155181</v>
      </c>
      <c r="T603" s="6" t="s">
        <v>23</v>
      </c>
    </row>
    <row r="604" customFormat="false" ht="15" hidden="false" customHeight="false" outlineLevel="0" collapsed="false">
      <c r="A604" s="3" t="s">
        <v>637</v>
      </c>
      <c r="B604" s="3" t="s">
        <v>22</v>
      </c>
      <c r="C604" s="3" t="n">
        <v>1643</v>
      </c>
      <c r="D604" s="3" t="n">
        <v>82</v>
      </c>
      <c r="E604" s="3" t="n">
        <v>407</v>
      </c>
      <c r="F604" s="3" t="n">
        <v>2291</v>
      </c>
      <c r="G604" s="3" t="n">
        <v>10</v>
      </c>
      <c r="H604" s="3" t="n">
        <v>986140.5</v>
      </c>
      <c r="I604" s="3" t="n">
        <v>469</v>
      </c>
      <c r="J604" s="3" t="n">
        <v>275794</v>
      </c>
      <c r="K604" s="3" t="n">
        <v>32755</v>
      </c>
      <c r="L604" s="3" t="n">
        <v>294</v>
      </c>
      <c r="M604" s="4" t="n">
        <f aca="false">IFERROR(D604/C604,0)</f>
        <v>0.0499087035909921</v>
      </c>
      <c r="N604" s="4" t="n">
        <f aca="false">IFERROR(E604/C604,0)</f>
        <v>0.247717589774802</v>
      </c>
      <c r="O604" s="5" t="n">
        <f aca="false">IFERROR(F604/MAX(C604-D604,1),0)</f>
        <v>1.46764894298527</v>
      </c>
      <c r="P604" s="5" t="n">
        <f aca="false">IFERROR(F604/C604,0)</f>
        <v>1.39440048691418</v>
      </c>
      <c r="Q604" s="5" t="n">
        <f aca="false">IFERROR(H604/C604,0)</f>
        <v>600.207242848448</v>
      </c>
      <c r="R604" s="4" t="n">
        <f aca="false">IFERROR(I604/F604,0)</f>
        <v>0.204714098646879</v>
      </c>
      <c r="S604" s="4" t="n">
        <f aca="false">IFERROR(K604/J604,0)</f>
        <v>0.118766180555052</v>
      </c>
      <c r="T604" s="6" t="s">
        <v>23</v>
      </c>
    </row>
    <row r="605" customFormat="false" ht="15" hidden="false" customHeight="false" outlineLevel="0" collapsed="false">
      <c r="A605" s="3" t="s">
        <v>638</v>
      </c>
      <c r="B605" s="3" t="s">
        <v>26</v>
      </c>
      <c r="C605" s="3" t="n">
        <v>3406</v>
      </c>
      <c r="D605" s="3" t="n">
        <v>363</v>
      </c>
      <c r="E605" s="3" t="n">
        <v>1072</v>
      </c>
      <c r="F605" s="3" t="n">
        <v>9949</v>
      </c>
      <c r="G605" s="3" t="n">
        <v>12</v>
      </c>
      <c r="H605" s="3" t="n">
        <v>1829657.8</v>
      </c>
      <c r="I605" s="3" t="n">
        <v>2079</v>
      </c>
      <c r="J605" s="3" t="n">
        <v>629620</v>
      </c>
      <c r="K605" s="3" t="n">
        <v>144695</v>
      </c>
      <c r="L605" s="3" t="n">
        <v>1005</v>
      </c>
      <c r="M605" s="4" t="n">
        <f aca="false">IFERROR(D605/C605,0)</f>
        <v>0.106576629477393</v>
      </c>
      <c r="N605" s="4" t="n">
        <f aca="false">IFERROR(E605/C605,0)</f>
        <v>0.314738696418086</v>
      </c>
      <c r="O605" s="5" t="n">
        <f aca="false">IFERROR(F605/MAX(C605-D605,1),0)</f>
        <v>3.26947091685836</v>
      </c>
      <c r="P605" s="5" t="n">
        <f aca="false">IFERROR(F605/C605,0)</f>
        <v>2.92102172636524</v>
      </c>
      <c r="Q605" s="5" t="n">
        <f aca="false">IFERROR(H605/C605,0)</f>
        <v>537.186670581327</v>
      </c>
      <c r="R605" s="4" t="n">
        <f aca="false">IFERROR(I605/F605,0)</f>
        <v>0.208965725198512</v>
      </c>
      <c r="S605" s="4" t="n">
        <f aca="false">IFERROR(K605/J605,0)</f>
        <v>0.229813220672787</v>
      </c>
      <c r="T605" s="6" t="s">
        <v>23</v>
      </c>
    </row>
    <row r="606" customFormat="false" ht="15" hidden="false" customHeight="false" outlineLevel="0" collapsed="false">
      <c r="A606" s="3" t="s">
        <v>639</v>
      </c>
      <c r="B606" s="3" t="s">
        <v>29</v>
      </c>
      <c r="C606" s="3" t="n">
        <v>2278</v>
      </c>
      <c r="D606" s="3" t="n">
        <v>131</v>
      </c>
      <c r="E606" s="3" t="n">
        <v>559</v>
      </c>
      <c r="F606" s="3" t="n">
        <v>3120</v>
      </c>
      <c r="G606" s="3" t="n">
        <v>8</v>
      </c>
      <c r="H606" s="3" t="n">
        <v>806049.4</v>
      </c>
      <c r="I606" s="3" t="n">
        <v>414</v>
      </c>
      <c r="J606" s="3" t="n">
        <v>264271</v>
      </c>
      <c r="K606" s="3" t="n">
        <v>31200</v>
      </c>
      <c r="L606" s="3" t="n">
        <v>0</v>
      </c>
      <c r="M606" s="4" t="n">
        <f aca="false">IFERROR(D606/C606,0)</f>
        <v>0.0575065847234416</v>
      </c>
      <c r="N606" s="4" t="n">
        <f aca="false">IFERROR(E606/C606,0)</f>
        <v>0.245390693590869</v>
      </c>
      <c r="O606" s="5" t="n">
        <f aca="false">IFERROR(F606/MAX(C606-D606,1),0)</f>
        <v>1.45319049836982</v>
      </c>
      <c r="P606" s="5" t="n">
        <f aca="false">IFERROR(F606/C606,0)</f>
        <v>1.36962247585601</v>
      </c>
      <c r="Q606" s="5" t="n">
        <f aca="false">IFERROR(H606/C606,0)</f>
        <v>353.840825285338</v>
      </c>
      <c r="R606" s="4" t="n">
        <f aca="false">IFERROR(I606/F606,0)</f>
        <v>0.132692307692308</v>
      </c>
      <c r="S606" s="4" t="n">
        <f aca="false">IFERROR(K606/J606,0)</f>
        <v>0.118060627159242</v>
      </c>
      <c r="T606" s="6" t="s">
        <v>23</v>
      </c>
    </row>
    <row r="607" customFormat="false" ht="15" hidden="false" customHeight="false" outlineLevel="0" collapsed="false">
      <c r="A607" s="3" t="s">
        <v>640</v>
      </c>
      <c r="B607" s="3" t="s">
        <v>26</v>
      </c>
      <c r="C607" s="3" t="n">
        <v>1814</v>
      </c>
      <c r="D607" s="3" t="n">
        <v>132</v>
      </c>
      <c r="E607" s="3" t="n">
        <v>431</v>
      </c>
      <c r="F607" s="3" t="n">
        <v>4118</v>
      </c>
      <c r="G607" s="3" t="n">
        <v>8</v>
      </c>
      <c r="H607" s="3" t="n">
        <v>611096</v>
      </c>
      <c r="I607" s="3" t="n">
        <v>682</v>
      </c>
      <c r="J607" s="3" t="n">
        <v>235751</v>
      </c>
      <c r="K607" s="3" t="n">
        <v>47939</v>
      </c>
      <c r="L607" s="3" t="n">
        <v>606</v>
      </c>
      <c r="M607" s="4" t="n">
        <f aca="false">IFERROR(D607/C607,0)</f>
        <v>0.0727673649393605</v>
      </c>
      <c r="N607" s="4" t="n">
        <f aca="false">IFERROR(E607/C607,0)</f>
        <v>0.237596471885336</v>
      </c>
      <c r="O607" s="5" t="n">
        <f aca="false">IFERROR(F607/MAX(C607-D607,1),0)</f>
        <v>2.44827586206897</v>
      </c>
      <c r="P607" s="5" t="n">
        <f aca="false">IFERROR(F607/C607,0)</f>
        <v>2.27012127894157</v>
      </c>
      <c r="Q607" s="5" t="n">
        <f aca="false">IFERROR(H607/C607,0)</f>
        <v>336.877618522602</v>
      </c>
      <c r="R607" s="4" t="n">
        <f aca="false">IFERROR(I607/F607,0)</f>
        <v>0.165614375910636</v>
      </c>
      <c r="S607" s="4" t="n">
        <f aca="false">IFERROR(K607/J607,0)</f>
        <v>0.20334590309267</v>
      </c>
      <c r="T607" s="6" t="s">
        <v>23</v>
      </c>
    </row>
    <row r="608" customFormat="false" ht="15" hidden="false" customHeight="false" outlineLevel="0" collapsed="false">
      <c r="A608" s="3" t="s">
        <v>641</v>
      </c>
      <c r="B608" s="3" t="s">
        <v>26</v>
      </c>
      <c r="C608" s="3" t="n">
        <v>1801</v>
      </c>
      <c r="D608" s="3" t="n">
        <v>131</v>
      </c>
      <c r="E608" s="3" t="n">
        <v>738</v>
      </c>
      <c r="F608" s="3" t="n">
        <v>3090</v>
      </c>
      <c r="G608" s="3" t="n">
        <v>6</v>
      </c>
      <c r="H608" s="3" t="n">
        <v>872730.1</v>
      </c>
      <c r="I608" s="3" t="n">
        <v>626</v>
      </c>
      <c r="J608" s="3" t="n">
        <v>338328</v>
      </c>
      <c r="K608" s="3" t="n">
        <v>61745</v>
      </c>
      <c r="L608" s="3" t="n">
        <v>225</v>
      </c>
      <c r="M608" s="4" t="n">
        <f aca="false">IFERROR(D608/C608,0)</f>
        <v>0.0727373681288173</v>
      </c>
      <c r="N608" s="4" t="n">
        <f aca="false">IFERROR(E608/C608,0)</f>
        <v>0.409772348695169</v>
      </c>
      <c r="O608" s="5" t="n">
        <f aca="false">IFERROR(F608/MAX(C608-D608,1),0)</f>
        <v>1.8502994011976</v>
      </c>
      <c r="P608" s="5" t="n">
        <f aca="false">IFERROR(F608/C608,0)</f>
        <v>1.71571349250416</v>
      </c>
      <c r="Q608" s="5" t="n">
        <f aca="false">IFERROR(H608/C608,0)</f>
        <v>484.580843975569</v>
      </c>
      <c r="R608" s="4" t="n">
        <f aca="false">IFERROR(I608/F608,0)</f>
        <v>0.202588996763754</v>
      </c>
      <c r="S608" s="4" t="n">
        <f aca="false">IFERROR(K608/J608,0)</f>
        <v>0.182500413799626</v>
      </c>
      <c r="T608" s="6" t="s">
        <v>23</v>
      </c>
    </row>
    <row r="609" customFormat="false" ht="15" hidden="false" customHeight="false" outlineLevel="0" collapsed="false">
      <c r="A609" s="9" t="s">
        <v>642</v>
      </c>
      <c r="B609" s="9" t="s">
        <v>29</v>
      </c>
      <c r="C609" s="9" t="n">
        <v>3341</v>
      </c>
      <c r="D609" s="9" t="n">
        <v>939</v>
      </c>
      <c r="E609" s="9" t="n">
        <v>1991</v>
      </c>
      <c r="F609" s="9" t="n">
        <v>27789</v>
      </c>
      <c r="G609" s="9" t="n">
        <v>31</v>
      </c>
      <c r="H609" s="9" t="n">
        <v>3719704.2</v>
      </c>
      <c r="I609" s="9" t="n">
        <v>21908</v>
      </c>
      <c r="J609" s="9" t="n">
        <v>299836</v>
      </c>
      <c r="K609" s="9" t="n">
        <v>270174</v>
      </c>
      <c r="L609" s="9" t="n">
        <v>0</v>
      </c>
      <c r="M609" s="10" t="n">
        <f aca="false">IFERROR(D609/C609,0)</f>
        <v>0.281053576773421</v>
      </c>
      <c r="N609" s="10" t="n">
        <f aca="false">IFERROR(E609/C609,0)</f>
        <v>0.595929362466327</v>
      </c>
      <c r="O609" s="11" t="n">
        <f aca="false">IFERROR(F609/MAX(C609-D609,1),0)</f>
        <v>11.5691090757702</v>
      </c>
      <c r="P609" s="11" t="n">
        <f aca="false">IFERROR(F609/C609,0)</f>
        <v>8.31756958994313</v>
      </c>
      <c r="Q609" s="11" t="n">
        <f aca="false">IFERROR(H609/C609,0)</f>
        <v>1113.35055372643</v>
      </c>
      <c r="R609" s="10" t="n">
        <f aca="false">IFERROR(I609/F609,0)</f>
        <v>0.788369498722516</v>
      </c>
      <c r="S609" s="10" t="n">
        <f aca="false">IFERROR(K609/J609,0)</f>
        <v>0.901072586347203</v>
      </c>
      <c r="T609" s="12" t="s">
        <v>30</v>
      </c>
    </row>
    <row r="610" customFormat="false" ht="15" hidden="false" customHeight="false" outlineLevel="0" collapsed="false">
      <c r="A610" s="3" t="s">
        <v>643</v>
      </c>
      <c r="B610" s="3" t="s">
        <v>29</v>
      </c>
      <c r="C610" s="3" t="n">
        <v>3238</v>
      </c>
      <c r="D610" s="3" t="n">
        <v>187</v>
      </c>
      <c r="E610" s="3" t="n">
        <v>1265</v>
      </c>
      <c r="F610" s="3" t="n">
        <v>8639</v>
      </c>
      <c r="G610" s="3" t="n">
        <v>10</v>
      </c>
      <c r="H610" s="3" t="n">
        <v>989781.7</v>
      </c>
      <c r="I610" s="3" t="n">
        <v>1477</v>
      </c>
      <c r="J610" s="3" t="n">
        <v>516002</v>
      </c>
      <c r="K610" s="3" t="n">
        <v>107060</v>
      </c>
      <c r="L610" s="3" t="n">
        <v>0</v>
      </c>
      <c r="M610" s="4" t="n">
        <f aca="false">IFERROR(D610/C610,0)</f>
        <v>0.05775169857937</v>
      </c>
      <c r="N610" s="4" t="n">
        <f aca="false">IFERROR(E610/C610,0)</f>
        <v>0.390673255095738</v>
      </c>
      <c r="O610" s="5" t="n">
        <f aca="false">IFERROR(F610/MAX(C610-D610,1),0)</f>
        <v>2.83153064568994</v>
      </c>
      <c r="P610" s="5" t="n">
        <f aca="false">IFERROR(F610/C610,0)</f>
        <v>2.6680049413218</v>
      </c>
      <c r="Q610" s="5" t="n">
        <f aca="false">IFERROR(H610/C610,0)</f>
        <v>305.676868437307</v>
      </c>
      <c r="R610" s="4" t="n">
        <f aca="false">IFERROR(I610/F610,0)</f>
        <v>0.170968862136821</v>
      </c>
      <c r="S610" s="4" t="n">
        <f aca="false">IFERROR(K610/J610,0)</f>
        <v>0.207479815969706</v>
      </c>
      <c r="T610" s="6" t="s">
        <v>23</v>
      </c>
    </row>
    <row r="611" customFormat="false" ht="15" hidden="false" customHeight="false" outlineLevel="0" collapsed="false">
      <c r="A611" s="9" t="s">
        <v>644</v>
      </c>
      <c r="B611" s="9" t="s">
        <v>29</v>
      </c>
      <c r="C611" s="9" t="n">
        <v>3349</v>
      </c>
      <c r="D611" s="9" t="n">
        <v>504</v>
      </c>
      <c r="E611" s="9" t="n">
        <v>1612</v>
      </c>
      <c r="F611" s="9" t="n">
        <v>16197</v>
      </c>
      <c r="G611" s="9" t="n">
        <v>13</v>
      </c>
      <c r="H611" s="9" t="n">
        <v>1836474.4</v>
      </c>
      <c r="I611" s="9" t="n">
        <v>9788</v>
      </c>
      <c r="J611" s="9" t="n">
        <v>610508</v>
      </c>
      <c r="K611" s="9" t="n">
        <v>312468</v>
      </c>
      <c r="L611" s="9" t="n">
        <v>0</v>
      </c>
      <c r="M611" s="10" t="n">
        <f aca="false">IFERROR(D611/C611,0)</f>
        <v>0.150492684383398</v>
      </c>
      <c r="N611" s="10" t="n">
        <f aca="false">IFERROR(E611/C611,0)</f>
        <v>0.481337712750075</v>
      </c>
      <c r="O611" s="11" t="n">
        <f aca="false">IFERROR(F611/MAX(C611-D611,1),0)</f>
        <v>5.69314586994728</v>
      </c>
      <c r="P611" s="11" t="n">
        <f aca="false">IFERROR(F611/C611,0)</f>
        <v>4.83636906539265</v>
      </c>
      <c r="Q611" s="11" t="n">
        <f aca="false">IFERROR(H611/C611,0)</f>
        <v>548.365004478949</v>
      </c>
      <c r="R611" s="10" t="n">
        <f aca="false">IFERROR(I611/F611,0)</f>
        <v>0.604309440019757</v>
      </c>
      <c r="S611" s="10" t="n">
        <f aca="false">IFERROR(K611/J611,0)</f>
        <v>0.511816388974428</v>
      </c>
      <c r="T611" s="12" t="s">
        <v>30</v>
      </c>
    </row>
    <row r="612" customFormat="false" ht="15" hidden="false" customHeight="false" outlineLevel="0" collapsed="false">
      <c r="A612" s="3" t="s">
        <v>645</v>
      </c>
      <c r="B612" s="3" t="s">
        <v>26</v>
      </c>
      <c r="C612" s="3" t="n">
        <v>2018</v>
      </c>
      <c r="D612" s="3" t="n">
        <v>364</v>
      </c>
      <c r="E612" s="3" t="n">
        <v>978</v>
      </c>
      <c r="F612" s="3" t="n">
        <v>7443</v>
      </c>
      <c r="G612" s="3" t="n">
        <v>17</v>
      </c>
      <c r="H612" s="3" t="n">
        <v>1099239.9</v>
      </c>
      <c r="I612" s="3" t="n">
        <v>1527</v>
      </c>
      <c r="J612" s="3" t="n">
        <v>173596</v>
      </c>
      <c r="K612" s="3" t="n">
        <v>30079</v>
      </c>
      <c r="L612" s="3" t="n">
        <v>1097</v>
      </c>
      <c r="M612" s="4" t="n">
        <f aca="false">IFERROR(D612/C612,0)</f>
        <v>0.180376610505451</v>
      </c>
      <c r="N612" s="4" t="n">
        <f aca="false">IFERROR(E612/C612,0)</f>
        <v>0.484638255698712</v>
      </c>
      <c r="O612" s="5" t="n">
        <f aca="false">IFERROR(F612/MAX(C612-D612,1),0)</f>
        <v>4.5</v>
      </c>
      <c r="P612" s="5" t="n">
        <f aca="false">IFERROR(F612/C612,0)</f>
        <v>3.68830525272547</v>
      </c>
      <c r="Q612" s="5" t="n">
        <f aca="false">IFERROR(H612/C612,0)</f>
        <v>544.717492566898</v>
      </c>
      <c r="R612" s="4" t="n">
        <f aca="false">IFERROR(I612/F612,0)</f>
        <v>0.205159209995969</v>
      </c>
      <c r="S612" s="4" t="n">
        <f aca="false">IFERROR(K612/J612,0)</f>
        <v>0.173270121431369</v>
      </c>
      <c r="T612" s="6" t="s">
        <v>23</v>
      </c>
    </row>
    <row r="613" customFormat="false" ht="15" hidden="false" customHeight="false" outlineLevel="0" collapsed="false">
      <c r="A613" s="3" t="s">
        <v>646</v>
      </c>
      <c r="B613" s="3" t="s">
        <v>29</v>
      </c>
      <c r="C613" s="3" t="n">
        <v>2525</v>
      </c>
      <c r="D613" s="3" t="n">
        <v>120</v>
      </c>
      <c r="E613" s="3" t="n">
        <v>835</v>
      </c>
      <c r="F613" s="3" t="n">
        <v>6500</v>
      </c>
      <c r="G613" s="3" t="n">
        <v>9</v>
      </c>
      <c r="H613" s="3" t="n">
        <v>1063210.1</v>
      </c>
      <c r="I613" s="3" t="n">
        <v>1137</v>
      </c>
      <c r="J613" s="3" t="n">
        <v>293921</v>
      </c>
      <c r="K613" s="3" t="n">
        <v>37770</v>
      </c>
      <c r="L613" s="3" t="n">
        <v>0</v>
      </c>
      <c r="M613" s="4" t="n">
        <f aca="false">IFERROR(D613/C613,0)</f>
        <v>0.0475247524752475</v>
      </c>
      <c r="N613" s="4" t="n">
        <f aca="false">IFERROR(E613/C613,0)</f>
        <v>0.330693069306931</v>
      </c>
      <c r="O613" s="5" t="n">
        <f aca="false">IFERROR(F613/MAX(C613-D613,1),0)</f>
        <v>2.7027027027027</v>
      </c>
      <c r="P613" s="5" t="n">
        <f aca="false">IFERROR(F613/C613,0)</f>
        <v>2.57425742574257</v>
      </c>
      <c r="Q613" s="5" t="n">
        <f aca="false">IFERROR(H613/C613,0)</f>
        <v>421.073306930693</v>
      </c>
      <c r="R613" s="4" t="n">
        <f aca="false">IFERROR(I613/F613,0)</f>
        <v>0.174923076923077</v>
      </c>
      <c r="S613" s="4" t="n">
        <f aca="false">IFERROR(K613/J613,0)</f>
        <v>0.128503917719387</v>
      </c>
      <c r="T613" s="6" t="s">
        <v>23</v>
      </c>
    </row>
    <row r="614" customFormat="false" ht="15" hidden="false" customHeight="false" outlineLevel="0" collapsed="false">
      <c r="A614" s="3" t="s">
        <v>647</v>
      </c>
      <c r="B614" s="3" t="s">
        <v>29</v>
      </c>
      <c r="C614" s="3" t="n">
        <v>2412</v>
      </c>
      <c r="D614" s="3" t="n">
        <v>323</v>
      </c>
      <c r="E614" s="3" t="n">
        <v>829</v>
      </c>
      <c r="F614" s="3" t="n">
        <v>8758</v>
      </c>
      <c r="G614" s="3" t="n">
        <v>18</v>
      </c>
      <c r="H614" s="3" t="n">
        <v>460855.5</v>
      </c>
      <c r="I614" s="3" t="n">
        <v>1682</v>
      </c>
      <c r="J614" s="3" t="n">
        <v>361199</v>
      </c>
      <c r="K614" s="3" t="n">
        <v>94636</v>
      </c>
      <c r="L614" s="3" t="n">
        <v>0</v>
      </c>
      <c r="M614" s="4" t="n">
        <f aca="false">IFERROR(D614/C614,0)</f>
        <v>0.133913764510779</v>
      </c>
      <c r="N614" s="4" t="n">
        <f aca="false">IFERROR(E614/C614,0)</f>
        <v>0.343698175787728</v>
      </c>
      <c r="O614" s="5" t="n">
        <f aca="false">IFERROR(F614/MAX(C614-D614,1),0)</f>
        <v>4.19243657252274</v>
      </c>
      <c r="P614" s="5" t="n">
        <f aca="false">IFERROR(F614/C614,0)</f>
        <v>3.63101160862355</v>
      </c>
      <c r="Q614" s="5" t="n">
        <f aca="false">IFERROR(H614/C614,0)</f>
        <v>191.067786069652</v>
      </c>
      <c r="R614" s="4" t="n">
        <f aca="false">IFERROR(I614/F614,0)</f>
        <v>0.19205298013245</v>
      </c>
      <c r="S614" s="4" t="n">
        <f aca="false">IFERROR(K614/J614,0)</f>
        <v>0.262005155053032</v>
      </c>
      <c r="T614" s="6" t="s">
        <v>23</v>
      </c>
    </row>
    <row r="615" customFormat="false" ht="15" hidden="false" customHeight="false" outlineLevel="0" collapsed="false">
      <c r="A615" s="9" t="s">
        <v>648</v>
      </c>
      <c r="B615" s="9" t="s">
        <v>29</v>
      </c>
      <c r="C615" s="9" t="n">
        <v>2111</v>
      </c>
      <c r="D615" s="9" t="n">
        <v>938</v>
      </c>
      <c r="E615" s="9" t="n">
        <v>1529</v>
      </c>
      <c r="F615" s="9" t="n">
        <v>20371</v>
      </c>
      <c r="G615" s="9" t="n">
        <v>38</v>
      </c>
      <c r="H615" s="9" t="n">
        <v>1994901.5</v>
      </c>
      <c r="I615" s="9" t="n">
        <v>16694</v>
      </c>
      <c r="J615" s="9" t="n">
        <v>184237</v>
      </c>
      <c r="K615" s="9" t="n">
        <v>160205</v>
      </c>
      <c r="L615" s="9" t="n">
        <v>0</v>
      </c>
      <c r="M615" s="10" t="n">
        <f aca="false">IFERROR(D615/C615,0)</f>
        <v>0.444339175746092</v>
      </c>
      <c r="N615" s="10" t="n">
        <f aca="false">IFERROR(E615/C615,0)</f>
        <v>0.724301279014685</v>
      </c>
      <c r="O615" s="11" t="n">
        <f aca="false">IFERROR(F615/MAX(C615-D615,1),0)</f>
        <v>17.3665814151748</v>
      </c>
      <c r="P615" s="11" t="n">
        <f aca="false">IFERROR(F615/C615,0)</f>
        <v>9.64992894362861</v>
      </c>
      <c r="Q615" s="11" t="n">
        <f aca="false">IFERROR(H615/C615,0)</f>
        <v>945.003079109427</v>
      </c>
      <c r="R615" s="10" t="n">
        <f aca="false">IFERROR(I615/F615,0)</f>
        <v>0.819498306415984</v>
      </c>
      <c r="S615" s="10" t="n">
        <f aca="false">IFERROR(K615/J615,0)</f>
        <v>0.869559317618068</v>
      </c>
      <c r="T615" s="12" t="s">
        <v>30</v>
      </c>
    </row>
    <row r="616" customFormat="false" ht="15" hidden="false" customHeight="false" outlineLevel="0" collapsed="false">
      <c r="A616" s="3" t="s">
        <v>649</v>
      </c>
      <c r="B616" s="3" t="s">
        <v>22</v>
      </c>
      <c r="C616" s="3" t="n">
        <v>973</v>
      </c>
      <c r="D616" s="3" t="n">
        <v>82</v>
      </c>
      <c r="E616" s="3" t="n">
        <v>270</v>
      </c>
      <c r="F616" s="3" t="n">
        <v>3445</v>
      </c>
      <c r="G616" s="3" t="n">
        <v>17</v>
      </c>
      <c r="H616" s="3" t="n">
        <v>525072</v>
      </c>
      <c r="I616" s="3" t="n">
        <v>503</v>
      </c>
      <c r="J616" s="3" t="n">
        <v>131767</v>
      </c>
      <c r="K616" s="3" t="n">
        <v>20897</v>
      </c>
      <c r="L616" s="3" t="n">
        <v>130</v>
      </c>
      <c r="M616" s="4" t="n">
        <f aca="false">IFERROR(D616/C616,0)</f>
        <v>0.0842754367934224</v>
      </c>
      <c r="N616" s="4" t="n">
        <f aca="false">IFERROR(E616/C616,0)</f>
        <v>0.277492291880781</v>
      </c>
      <c r="O616" s="5" t="n">
        <f aca="false">IFERROR(F616/MAX(C616-D616,1),0)</f>
        <v>3.86644219977553</v>
      </c>
      <c r="P616" s="5" t="n">
        <f aca="false">IFERROR(F616/C616,0)</f>
        <v>3.54059609455293</v>
      </c>
      <c r="Q616" s="5" t="n">
        <f aca="false">IFERROR(H616/C616,0)</f>
        <v>539.642343268243</v>
      </c>
      <c r="R616" s="4" t="n">
        <f aca="false">IFERROR(I616/F616,0)</f>
        <v>0.146008708272859</v>
      </c>
      <c r="S616" s="4" t="n">
        <f aca="false">IFERROR(K616/J616,0)</f>
        <v>0.158590542396806</v>
      </c>
      <c r="T616" s="6" t="s">
        <v>23</v>
      </c>
    </row>
    <row r="617" customFormat="false" ht="15" hidden="false" customHeight="false" outlineLevel="0" collapsed="false">
      <c r="A617" s="3" t="s">
        <v>650</v>
      </c>
      <c r="B617" s="3" t="s">
        <v>26</v>
      </c>
      <c r="C617" s="3" t="n">
        <v>2751</v>
      </c>
      <c r="D617" s="3" t="n">
        <v>368</v>
      </c>
      <c r="E617" s="3" t="n">
        <v>1073</v>
      </c>
      <c r="F617" s="3" t="n">
        <v>6186</v>
      </c>
      <c r="G617" s="3" t="n">
        <v>7</v>
      </c>
      <c r="H617" s="3" t="n">
        <v>1578284.1</v>
      </c>
      <c r="I617" s="3" t="n">
        <v>1614</v>
      </c>
      <c r="J617" s="3" t="n">
        <v>225550</v>
      </c>
      <c r="K617" s="3" t="n">
        <v>54854</v>
      </c>
      <c r="L617" s="3" t="n">
        <v>1290</v>
      </c>
      <c r="M617" s="4" t="n">
        <f aca="false">IFERROR(D617/C617,0)</f>
        <v>0.133769538349691</v>
      </c>
      <c r="N617" s="4" t="n">
        <f aca="false">IFERROR(E617/C617,0)</f>
        <v>0.390039985459833</v>
      </c>
      <c r="O617" s="5" t="n">
        <f aca="false">IFERROR(F617/MAX(C617-D617,1),0)</f>
        <v>2.59588753671842</v>
      </c>
      <c r="P617" s="5" t="n">
        <f aca="false">IFERROR(F617/C617,0)</f>
        <v>2.24863685932388</v>
      </c>
      <c r="Q617" s="5" t="n">
        <f aca="false">IFERROR(H617/C617,0)</f>
        <v>573.712868047983</v>
      </c>
      <c r="R617" s="4" t="n">
        <f aca="false">IFERROR(I617/F617,0)</f>
        <v>0.260911736178468</v>
      </c>
      <c r="S617" s="4" t="n">
        <f aca="false">IFERROR(K617/J617,0)</f>
        <v>0.243201064065617</v>
      </c>
      <c r="T617" s="6" t="s">
        <v>23</v>
      </c>
    </row>
    <row r="618" customFormat="false" ht="15" hidden="false" customHeight="false" outlineLevel="0" collapsed="false">
      <c r="A618" s="3" t="s">
        <v>651</v>
      </c>
      <c r="B618" s="3" t="s">
        <v>26</v>
      </c>
      <c r="C618" s="3" t="n">
        <v>708</v>
      </c>
      <c r="D618" s="3" t="n">
        <v>37</v>
      </c>
      <c r="E618" s="3" t="n">
        <v>201</v>
      </c>
      <c r="F618" s="3" t="n">
        <v>1919</v>
      </c>
      <c r="G618" s="3" t="n">
        <v>14</v>
      </c>
      <c r="H618" s="3" t="n">
        <v>188175.8</v>
      </c>
      <c r="I618" s="3" t="n">
        <v>397</v>
      </c>
      <c r="J618" s="3" t="n">
        <v>97717</v>
      </c>
      <c r="K618" s="3" t="n">
        <v>18686</v>
      </c>
      <c r="L618" s="3" t="n">
        <v>125</v>
      </c>
      <c r="M618" s="4" t="n">
        <f aca="false">IFERROR(D618/C618,0)</f>
        <v>0.0522598870056497</v>
      </c>
      <c r="N618" s="4" t="n">
        <f aca="false">IFERROR(E618/C618,0)</f>
        <v>0.283898305084746</v>
      </c>
      <c r="O618" s="5" t="n">
        <f aca="false">IFERROR(F618/MAX(C618-D618,1),0)</f>
        <v>2.85991058122206</v>
      </c>
      <c r="P618" s="5" t="n">
        <f aca="false">IFERROR(F618/C618,0)</f>
        <v>2.71045197740113</v>
      </c>
      <c r="Q618" s="5" t="n">
        <f aca="false">IFERROR(H618/C618,0)</f>
        <v>265.785028248588</v>
      </c>
      <c r="R618" s="4" t="n">
        <f aca="false">IFERROR(I618/F618,0)</f>
        <v>0.206878582595102</v>
      </c>
      <c r="S618" s="4" t="n">
        <f aca="false">IFERROR(K618/J618,0)</f>
        <v>0.191225682327538</v>
      </c>
      <c r="T618" s="6" t="s">
        <v>23</v>
      </c>
    </row>
    <row r="619" customFormat="false" ht="15" hidden="false" customHeight="false" outlineLevel="0" collapsed="false">
      <c r="A619" s="9" t="s">
        <v>652</v>
      </c>
      <c r="B619" s="9" t="s">
        <v>29</v>
      </c>
      <c r="C619" s="9" t="n">
        <v>2469</v>
      </c>
      <c r="D619" s="9" t="n">
        <v>767</v>
      </c>
      <c r="E619" s="9" t="n">
        <v>1394</v>
      </c>
      <c r="F619" s="9" t="n">
        <v>21120</v>
      </c>
      <c r="G619" s="9" t="n">
        <v>22</v>
      </c>
      <c r="H619" s="9" t="n">
        <v>1437638</v>
      </c>
      <c r="I619" s="9" t="n">
        <v>13479</v>
      </c>
      <c r="J619" s="9" t="n">
        <v>437574</v>
      </c>
      <c r="K619" s="9" t="n">
        <v>425186</v>
      </c>
      <c r="L619" s="9" t="n">
        <v>0</v>
      </c>
      <c r="M619" s="10" t="n">
        <f aca="false">IFERROR(D619/C619,0)</f>
        <v>0.310652085864723</v>
      </c>
      <c r="N619" s="10" t="n">
        <f aca="false">IFERROR(E619/C619,0)</f>
        <v>0.564601053057918</v>
      </c>
      <c r="O619" s="11" t="n">
        <f aca="false">IFERROR(F619/MAX(C619-D619,1),0)</f>
        <v>12.4089306698002</v>
      </c>
      <c r="P619" s="11" t="n">
        <f aca="false">IFERROR(F619/C619,0)</f>
        <v>8.55407047387606</v>
      </c>
      <c r="Q619" s="11" t="n">
        <f aca="false">IFERROR(H619/C619,0)</f>
        <v>582.275415147833</v>
      </c>
      <c r="R619" s="10" t="n">
        <f aca="false">IFERROR(I619/F619,0)</f>
        <v>0.638210227272727</v>
      </c>
      <c r="S619" s="10" t="n">
        <f aca="false">IFERROR(K619/J619,0)</f>
        <v>0.971689359971114</v>
      </c>
      <c r="T619" s="12" t="s">
        <v>30</v>
      </c>
    </row>
    <row r="620" customFormat="false" ht="15" hidden="false" customHeight="false" outlineLevel="0" collapsed="false">
      <c r="A620" s="3" t="s">
        <v>653</v>
      </c>
      <c r="B620" s="3" t="s">
        <v>29</v>
      </c>
      <c r="C620" s="3" t="n">
        <v>1837</v>
      </c>
      <c r="D620" s="3" t="n">
        <v>120</v>
      </c>
      <c r="E620" s="3" t="n">
        <v>528</v>
      </c>
      <c r="F620" s="3" t="n">
        <v>4800</v>
      </c>
      <c r="G620" s="3" t="n">
        <v>14</v>
      </c>
      <c r="H620" s="3" t="n">
        <v>684629.5</v>
      </c>
      <c r="I620" s="3" t="n">
        <v>1066</v>
      </c>
      <c r="J620" s="3" t="n">
        <v>206810</v>
      </c>
      <c r="K620" s="3" t="n">
        <v>31799</v>
      </c>
      <c r="L620" s="3" t="n">
        <v>0</v>
      </c>
      <c r="M620" s="4" t="n">
        <f aca="false">IFERROR(D620/C620,0)</f>
        <v>0.065323897659227</v>
      </c>
      <c r="N620" s="4" t="n">
        <f aca="false">IFERROR(E620/C620,0)</f>
        <v>0.287425149700599</v>
      </c>
      <c r="O620" s="5" t="n">
        <f aca="false">IFERROR(F620/MAX(C620-D620,1),0)</f>
        <v>2.79557367501456</v>
      </c>
      <c r="P620" s="5" t="n">
        <f aca="false">IFERROR(F620/C620,0)</f>
        <v>2.61295590636908</v>
      </c>
      <c r="Q620" s="5" t="n">
        <f aca="false">IFERROR(H620/C620,0)</f>
        <v>372.688894937398</v>
      </c>
      <c r="R620" s="4" t="n">
        <f aca="false">IFERROR(I620/F620,0)</f>
        <v>0.222083333333333</v>
      </c>
      <c r="S620" s="4" t="n">
        <f aca="false">IFERROR(K620/J620,0)</f>
        <v>0.153759489386393</v>
      </c>
      <c r="T620" s="6" t="s">
        <v>23</v>
      </c>
    </row>
    <row r="621" customFormat="false" ht="15" hidden="false" customHeight="false" outlineLevel="0" collapsed="false">
      <c r="A621" s="3" t="s">
        <v>654</v>
      </c>
      <c r="B621" s="3" t="s">
        <v>26</v>
      </c>
      <c r="C621" s="3" t="n">
        <v>2351</v>
      </c>
      <c r="D621" s="3" t="n">
        <v>230</v>
      </c>
      <c r="E621" s="3" t="n">
        <v>611</v>
      </c>
      <c r="F621" s="3" t="n">
        <v>5297</v>
      </c>
      <c r="G621" s="3" t="n">
        <v>11</v>
      </c>
      <c r="H621" s="3" t="n">
        <v>1135776.7</v>
      </c>
      <c r="I621" s="3" t="n">
        <v>1340</v>
      </c>
      <c r="J621" s="3" t="n">
        <v>279447</v>
      </c>
      <c r="K621" s="3" t="n">
        <v>53567</v>
      </c>
      <c r="L621" s="3" t="n">
        <v>1083</v>
      </c>
      <c r="M621" s="4" t="n">
        <f aca="false">IFERROR(D621/C621,0)</f>
        <v>0.0978307103360272</v>
      </c>
      <c r="N621" s="4" t="n">
        <f aca="false">IFERROR(E621/C621,0)</f>
        <v>0.259889408762229</v>
      </c>
      <c r="O621" s="5" t="n">
        <f aca="false">IFERROR(F621/MAX(C621-D621,1),0)</f>
        <v>2.4974068835455</v>
      </c>
      <c r="P621" s="5" t="n">
        <f aca="false">IFERROR(F621/C621,0)</f>
        <v>2.25308379413016</v>
      </c>
      <c r="Q621" s="5" t="n">
        <f aca="false">IFERROR(H621/C621,0)</f>
        <v>483.103658017865</v>
      </c>
      <c r="R621" s="4" t="n">
        <f aca="false">IFERROR(I621/F621,0)</f>
        <v>0.252973381159147</v>
      </c>
      <c r="S621" s="4" t="n">
        <f aca="false">IFERROR(K621/J621,0)</f>
        <v>0.191689300654507</v>
      </c>
      <c r="T621" s="6" t="s">
        <v>23</v>
      </c>
    </row>
    <row r="622" customFormat="false" ht="15" hidden="false" customHeight="false" outlineLevel="0" collapsed="false">
      <c r="A622" s="3" t="s">
        <v>655</v>
      </c>
      <c r="B622" s="3" t="s">
        <v>29</v>
      </c>
      <c r="C622" s="3" t="n">
        <v>272</v>
      </c>
      <c r="D622" s="3" t="n">
        <v>17</v>
      </c>
      <c r="E622" s="3" t="n">
        <v>85</v>
      </c>
      <c r="F622" s="3" t="n">
        <v>599</v>
      </c>
      <c r="G622" s="3" t="n">
        <v>12</v>
      </c>
      <c r="H622" s="3" t="n">
        <v>87668.2</v>
      </c>
      <c r="I622" s="3" t="n">
        <v>114</v>
      </c>
      <c r="J622" s="3" t="n">
        <v>23632</v>
      </c>
      <c r="K622" s="3" t="n">
        <v>5175</v>
      </c>
      <c r="L622" s="3" t="n">
        <v>0</v>
      </c>
      <c r="M622" s="4" t="n">
        <f aca="false">IFERROR(D622/C622,0)</f>
        <v>0.0625</v>
      </c>
      <c r="N622" s="4" t="n">
        <f aca="false">IFERROR(E622/C622,0)</f>
        <v>0.3125</v>
      </c>
      <c r="O622" s="5" t="n">
        <f aca="false">IFERROR(F622/MAX(C622-D622,1),0)</f>
        <v>2.34901960784314</v>
      </c>
      <c r="P622" s="5" t="n">
        <f aca="false">IFERROR(F622/C622,0)</f>
        <v>2.20220588235294</v>
      </c>
      <c r="Q622" s="5" t="n">
        <f aca="false">IFERROR(H622/C622,0)</f>
        <v>322.309558823529</v>
      </c>
      <c r="R622" s="4" t="n">
        <f aca="false">IFERROR(I622/F622,0)</f>
        <v>0.190317195325543</v>
      </c>
      <c r="S622" s="4" t="n">
        <f aca="false">IFERROR(K622/J622,0)</f>
        <v>0.218982735274204</v>
      </c>
      <c r="T622" s="6" t="s">
        <v>23</v>
      </c>
    </row>
    <row r="623" customFormat="false" ht="15" hidden="false" customHeight="false" outlineLevel="0" collapsed="false">
      <c r="A623" s="3" t="s">
        <v>656</v>
      </c>
      <c r="B623" s="3" t="s">
        <v>29</v>
      </c>
      <c r="C623" s="3" t="n">
        <v>373</v>
      </c>
      <c r="D623" s="3" t="n">
        <v>37</v>
      </c>
      <c r="E623" s="3" t="n">
        <v>161</v>
      </c>
      <c r="F623" s="3" t="n">
        <v>808</v>
      </c>
      <c r="G623" s="3" t="n">
        <v>12</v>
      </c>
      <c r="H623" s="3" t="n">
        <v>205978.8</v>
      </c>
      <c r="I623" s="3" t="n">
        <v>193</v>
      </c>
      <c r="J623" s="3" t="n">
        <v>33520</v>
      </c>
      <c r="K623" s="3" t="n">
        <v>8342</v>
      </c>
      <c r="L623" s="3" t="n">
        <v>0</v>
      </c>
      <c r="M623" s="4" t="n">
        <f aca="false">IFERROR(D623/C623,0)</f>
        <v>0.0991957104557641</v>
      </c>
      <c r="N623" s="4" t="n">
        <f aca="false">IFERROR(E623/C623,0)</f>
        <v>0.431635388739946</v>
      </c>
      <c r="O623" s="5" t="n">
        <f aca="false">IFERROR(F623/MAX(C623-D623,1),0)</f>
        <v>2.4047619047619</v>
      </c>
      <c r="P623" s="5" t="n">
        <f aca="false">IFERROR(F623/C623,0)</f>
        <v>2.16621983914209</v>
      </c>
      <c r="Q623" s="5" t="n">
        <f aca="false">IFERROR(H623/C623,0)</f>
        <v>552.221983914209</v>
      </c>
      <c r="R623" s="4" t="n">
        <f aca="false">IFERROR(I623/F623,0)</f>
        <v>0.238861386138614</v>
      </c>
      <c r="S623" s="4" t="n">
        <f aca="false">IFERROR(K623/J623,0)</f>
        <v>0.248866348448687</v>
      </c>
      <c r="T623" s="6" t="s">
        <v>23</v>
      </c>
    </row>
    <row r="624" customFormat="false" ht="15" hidden="false" customHeight="false" outlineLevel="0" collapsed="false">
      <c r="A624" s="3" t="s">
        <v>657</v>
      </c>
      <c r="B624" s="3" t="s">
        <v>29</v>
      </c>
      <c r="C624" s="3" t="n">
        <v>1166</v>
      </c>
      <c r="D624" s="3" t="n">
        <v>170</v>
      </c>
      <c r="E624" s="3" t="n">
        <v>544</v>
      </c>
      <c r="F624" s="3" t="n">
        <v>4747</v>
      </c>
      <c r="G624" s="3" t="n">
        <v>16</v>
      </c>
      <c r="H624" s="3" t="n">
        <v>785269</v>
      </c>
      <c r="I624" s="3" t="n">
        <v>1208</v>
      </c>
      <c r="J624" s="3" t="n">
        <v>190172</v>
      </c>
      <c r="K624" s="3" t="n">
        <v>39681</v>
      </c>
      <c r="L624" s="3" t="n">
        <v>0</v>
      </c>
      <c r="M624" s="4" t="n">
        <f aca="false">IFERROR(D624/C624,0)</f>
        <v>0.145797598627787</v>
      </c>
      <c r="N624" s="4" t="n">
        <f aca="false">IFERROR(E624/C624,0)</f>
        <v>0.466552315608919</v>
      </c>
      <c r="O624" s="5" t="n">
        <f aca="false">IFERROR(F624/MAX(C624-D624,1),0)</f>
        <v>4.76606425702811</v>
      </c>
      <c r="P624" s="5" t="n">
        <f aca="false">IFERROR(F624/C624,0)</f>
        <v>4.07118353344769</v>
      </c>
      <c r="Q624" s="5" t="n">
        <f aca="false">IFERROR(H624/C624,0)</f>
        <v>673.472555746141</v>
      </c>
      <c r="R624" s="4" t="n">
        <f aca="false">IFERROR(I624/F624,0)</f>
        <v>0.254476511480935</v>
      </c>
      <c r="S624" s="4" t="n">
        <f aca="false">IFERROR(K624/J624,0)</f>
        <v>0.208658477588709</v>
      </c>
      <c r="T624" s="6" t="s">
        <v>23</v>
      </c>
    </row>
    <row r="625" customFormat="false" ht="15" hidden="false" customHeight="false" outlineLevel="0" collapsed="false">
      <c r="A625" s="3" t="s">
        <v>658</v>
      </c>
      <c r="B625" s="3" t="s">
        <v>29</v>
      </c>
      <c r="C625" s="3" t="n">
        <v>676</v>
      </c>
      <c r="D625" s="3" t="n">
        <v>77</v>
      </c>
      <c r="E625" s="3" t="n">
        <v>270</v>
      </c>
      <c r="F625" s="3" t="n">
        <v>1302</v>
      </c>
      <c r="G625" s="3" t="n">
        <v>7</v>
      </c>
      <c r="H625" s="3" t="n">
        <v>240306.4</v>
      </c>
      <c r="I625" s="3" t="n">
        <v>268</v>
      </c>
      <c r="J625" s="3" t="n">
        <v>86772</v>
      </c>
      <c r="K625" s="3" t="n">
        <v>9946</v>
      </c>
      <c r="L625" s="3" t="n">
        <v>0</v>
      </c>
      <c r="M625" s="4" t="n">
        <f aca="false">IFERROR(D625/C625,0)</f>
        <v>0.113905325443787</v>
      </c>
      <c r="N625" s="4" t="n">
        <f aca="false">IFERROR(E625/C625,0)</f>
        <v>0.399408284023669</v>
      </c>
      <c r="O625" s="5" t="n">
        <f aca="false">IFERROR(F625/MAX(C625-D625,1),0)</f>
        <v>2.17362270450751</v>
      </c>
      <c r="P625" s="5" t="n">
        <f aca="false">IFERROR(F625/C625,0)</f>
        <v>1.92603550295858</v>
      </c>
      <c r="Q625" s="5" t="n">
        <f aca="false">IFERROR(H625/C625,0)</f>
        <v>355.482840236686</v>
      </c>
      <c r="R625" s="4" t="n">
        <f aca="false">IFERROR(I625/F625,0)</f>
        <v>0.205837173579109</v>
      </c>
      <c r="S625" s="4" t="n">
        <f aca="false">IFERROR(K625/J625,0)</f>
        <v>0.114622228368598</v>
      </c>
      <c r="T625" s="6" t="s">
        <v>23</v>
      </c>
    </row>
    <row r="626" customFormat="false" ht="15" hidden="false" customHeight="false" outlineLevel="0" collapsed="false">
      <c r="A626" s="3" t="s">
        <v>659</v>
      </c>
      <c r="B626" s="3" t="s">
        <v>22</v>
      </c>
      <c r="C626" s="3" t="n">
        <v>181</v>
      </c>
      <c r="D626" s="3" t="n">
        <v>26</v>
      </c>
      <c r="E626" s="3" t="n">
        <v>68</v>
      </c>
      <c r="F626" s="3" t="n">
        <v>475</v>
      </c>
      <c r="G626" s="3" t="n">
        <v>9</v>
      </c>
      <c r="H626" s="3" t="n">
        <v>73865.9</v>
      </c>
      <c r="I626" s="3" t="n">
        <v>79</v>
      </c>
      <c r="J626" s="3" t="n">
        <v>20179</v>
      </c>
      <c r="K626" s="3" t="n">
        <v>2581</v>
      </c>
      <c r="L626" s="3" t="n">
        <v>33</v>
      </c>
      <c r="M626" s="4" t="n">
        <f aca="false">IFERROR(D626/C626,0)</f>
        <v>0.143646408839779</v>
      </c>
      <c r="N626" s="4" t="n">
        <f aca="false">IFERROR(E626/C626,0)</f>
        <v>0.375690607734807</v>
      </c>
      <c r="O626" s="5" t="n">
        <f aca="false">IFERROR(F626/MAX(C626-D626,1),0)</f>
        <v>3.06451612903226</v>
      </c>
      <c r="P626" s="5" t="n">
        <f aca="false">IFERROR(F626/C626,0)</f>
        <v>2.62430939226519</v>
      </c>
      <c r="Q626" s="5" t="n">
        <f aca="false">IFERROR(H626/C626,0)</f>
        <v>408.098895027624</v>
      </c>
      <c r="R626" s="4" t="n">
        <f aca="false">IFERROR(I626/F626,0)</f>
        <v>0.166315789473684</v>
      </c>
      <c r="S626" s="4" t="n">
        <f aca="false">IFERROR(K626/J626,0)</f>
        <v>0.12790524803013</v>
      </c>
      <c r="T626" s="6" t="s">
        <v>23</v>
      </c>
    </row>
    <row r="627" customFormat="false" ht="15" hidden="false" customHeight="false" outlineLevel="0" collapsed="false">
      <c r="A627" s="3" t="s">
        <v>660</v>
      </c>
      <c r="B627" s="3" t="s">
        <v>26</v>
      </c>
      <c r="C627" s="3" t="n">
        <v>2874</v>
      </c>
      <c r="D627" s="3" t="n">
        <v>177</v>
      </c>
      <c r="E627" s="3" t="n">
        <v>1111</v>
      </c>
      <c r="F627" s="3" t="n">
        <v>3582</v>
      </c>
      <c r="G627" s="3" t="n">
        <v>6</v>
      </c>
      <c r="H627" s="3" t="n">
        <v>1028422.5</v>
      </c>
      <c r="I627" s="3" t="n">
        <v>329</v>
      </c>
      <c r="J627" s="3" t="n">
        <v>246068</v>
      </c>
      <c r="K627" s="3" t="n">
        <v>25569</v>
      </c>
      <c r="L627" s="3" t="n">
        <v>411</v>
      </c>
      <c r="M627" s="4" t="n">
        <f aca="false">IFERROR(D627/C627,0)</f>
        <v>0.0615866388308977</v>
      </c>
      <c r="N627" s="4" t="n">
        <f aca="false">IFERROR(E627/C627,0)</f>
        <v>0.386569241475296</v>
      </c>
      <c r="O627" s="5" t="n">
        <f aca="false">IFERROR(F627/MAX(C627-D627,1),0)</f>
        <v>1.32814238042269</v>
      </c>
      <c r="P627" s="5" t="n">
        <f aca="false">IFERROR(F627/C627,0)</f>
        <v>1.24634655532359</v>
      </c>
      <c r="Q627" s="5" t="n">
        <f aca="false">IFERROR(H627/C627,0)</f>
        <v>357.836638830898</v>
      </c>
      <c r="R627" s="4" t="n">
        <f aca="false">IFERROR(I627/F627,0)</f>
        <v>0.0918481295365718</v>
      </c>
      <c r="S627" s="4" t="n">
        <f aca="false">IFERROR(K627/J627,0)</f>
        <v>0.10391030121755</v>
      </c>
      <c r="T627" s="6" t="s">
        <v>23</v>
      </c>
    </row>
    <row r="628" customFormat="false" ht="15" hidden="false" customHeight="false" outlineLevel="0" collapsed="false">
      <c r="A628" s="3" t="s">
        <v>661</v>
      </c>
      <c r="B628" s="3" t="s">
        <v>29</v>
      </c>
      <c r="C628" s="3" t="n">
        <v>3810</v>
      </c>
      <c r="D628" s="3" t="n">
        <v>642</v>
      </c>
      <c r="E628" s="3" t="n">
        <v>1785</v>
      </c>
      <c r="F628" s="3" t="n">
        <v>12991</v>
      </c>
      <c r="G628" s="3" t="n">
        <v>14</v>
      </c>
      <c r="H628" s="3" t="n">
        <v>1368470.8</v>
      </c>
      <c r="I628" s="3" t="n">
        <v>3168</v>
      </c>
      <c r="J628" s="3" t="n">
        <v>494182</v>
      </c>
      <c r="K628" s="3" t="n">
        <v>108744</v>
      </c>
      <c r="L628" s="3" t="n">
        <v>0</v>
      </c>
      <c r="M628" s="4" t="n">
        <f aca="false">IFERROR(D628/C628,0)</f>
        <v>0.168503937007874</v>
      </c>
      <c r="N628" s="4" t="n">
        <f aca="false">IFERROR(E628/C628,0)</f>
        <v>0.468503937007874</v>
      </c>
      <c r="O628" s="5" t="n">
        <f aca="false">IFERROR(F628/MAX(C628-D628,1),0)</f>
        <v>4.10069444444445</v>
      </c>
      <c r="P628" s="5" t="n">
        <f aca="false">IFERROR(F628/C628,0)</f>
        <v>3.40971128608924</v>
      </c>
      <c r="Q628" s="5" t="n">
        <f aca="false">IFERROR(H628/C628,0)</f>
        <v>359.178687664042</v>
      </c>
      <c r="R628" s="4" t="n">
        <f aca="false">IFERROR(I628/F628,0)</f>
        <v>0.243861134631668</v>
      </c>
      <c r="S628" s="4" t="n">
        <f aca="false">IFERROR(K628/J628,0)</f>
        <v>0.220048484161706</v>
      </c>
      <c r="T628" s="6" t="s">
        <v>23</v>
      </c>
    </row>
    <row r="629" customFormat="false" ht="15" hidden="false" customHeight="false" outlineLevel="0" collapsed="false">
      <c r="A629" s="3" t="s">
        <v>662</v>
      </c>
      <c r="B629" s="3" t="s">
        <v>26</v>
      </c>
      <c r="C629" s="3" t="n">
        <v>1986</v>
      </c>
      <c r="D629" s="3" t="n">
        <v>318</v>
      </c>
      <c r="E629" s="3" t="n">
        <v>686</v>
      </c>
      <c r="F629" s="3" t="n">
        <v>6298</v>
      </c>
      <c r="G629" s="3" t="n">
        <v>17</v>
      </c>
      <c r="H629" s="3" t="n">
        <v>1135727</v>
      </c>
      <c r="I629" s="3" t="n">
        <v>1033</v>
      </c>
      <c r="J629" s="3" t="n">
        <v>204778</v>
      </c>
      <c r="K629" s="3" t="n">
        <v>34012</v>
      </c>
      <c r="L629" s="3" t="n">
        <v>308</v>
      </c>
      <c r="M629" s="4" t="n">
        <f aca="false">IFERROR(D629/C629,0)</f>
        <v>0.16012084592145</v>
      </c>
      <c r="N629" s="4" t="n">
        <f aca="false">IFERROR(E629/C629,0)</f>
        <v>0.345417925478348</v>
      </c>
      <c r="O629" s="5" t="n">
        <f aca="false">IFERROR(F629/MAX(C629-D629,1),0)</f>
        <v>3.7757793764988</v>
      </c>
      <c r="P629" s="5" t="n">
        <f aca="false">IFERROR(F629/C629,0)</f>
        <v>3.17119838872105</v>
      </c>
      <c r="Q629" s="5" t="n">
        <f aca="false">IFERROR(H629/C629,0)</f>
        <v>571.866565961732</v>
      </c>
      <c r="R629" s="4" t="n">
        <f aca="false">IFERROR(I629/F629,0)</f>
        <v>0.164020323912353</v>
      </c>
      <c r="S629" s="4" t="n">
        <f aca="false">IFERROR(K629/J629,0)</f>
        <v>0.16609206067058</v>
      </c>
      <c r="T629" s="6" t="s">
        <v>23</v>
      </c>
    </row>
    <row r="630" customFormat="false" ht="15" hidden="false" customHeight="false" outlineLevel="0" collapsed="false">
      <c r="A630" s="9" t="s">
        <v>663</v>
      </c>
      <c r="B630" s="9" t="s">
        <v>26</v>
      </c>
      <c r="C630" s="9" t="n">
        <v>1725</v>
      </c>
      <c r="D630" s="9" t="n">
        <v>274</v>
      </c>
      <c r="E630" s="9" t="n">
        <v>577</v>
      </c>
      <c r="F630" s="9" t="n">
        <v>8693</v>
      </c>
      <c r="G630" s="9" t="n">
        <v>15</v>
      </c>
      <c r="H630" s="9" t="n">
        <v>894378.7</v>
      </c>
      <c r="I630" s="9" t="n">
        <v>5285</v>
      </c>
      <c r="J630" s="9" t="n">
        <v>124682</v>
      </c>
      <c r="K630" s="9" t="n">
        <v>75265</v>
      </c>
      <c r="L630" s="9" t="n">
        <v>503</v>
      </c>
      <c r="M630" s="10" t="n">
        <f aca="false">IFERROR(D630/C630,0)</f>
        <v>0.158840579710145</v>
      </c>
      <c r="N630" s="10" t="n">
        <f aca="false">IFERROR(E630/C630,0)</f>
        <v>0.334492753623188</v>
      </c>
      <c r="O630" s="11" t="n">
        <f aca="false">IFERROR(F630/MAX(C630-D630,1),0)</f>
        <v>5.99104066161268</v>
      </c>
      <c r="P630" s="11" t="n">
        <f aca="false">IFERROR(F630/C630,0)</f>
        <v>5.03942028985507</v>
      </c>
      <c r="Q630" s="11" t="n">
        <f aca="false">IFERROR(H630/C630,0)</f>
        <v>518.480405797101</v>
      </c>
      <c r="R630" s="10" t="n">
        <f aca="false">IFERROR(I630/F630,0)</f>
        <v>0.607960427930519</v>
      </c>
      <c r="S630" s="10" t="n">
        <f aca="false">IFERROR(K630/J630,0)</f>
        <v>0.603655700101057</v>
      </c>
      <c r="T630" s="12" t="s">
        <v>30</v>
      </c>
    </row>
    <row r="631" customFormat="false" ht="15" hidden="false" customHeight="false" outlineLevel="0" collapsed="false">
      <c r="A631" s="3" t="s">
        <v>664</v>
      </c>
      <c r="B631" s="3" t="s">
        <v>29</v>
      </c>
      <c r="C631" s="3" t="n">
        <v>3176</v>
      </c>
      <c r="D631" s="3" t="n">
        <v>355</v>
      </c>
      <c r="E631" s="3" t="n">
        <v>1155</v>
      </c>
      <c r="F631" s="3" t="n">
        <v>10137</v>
      </c>
      <c r="G631" s="3" t="n">
        <v>14</v>
      </c>
      <c r="H631" s="3" t="n">
        <v>1975694.1</v>
      </c>
      <c r="I631" s="3" t="n">
        <v>1939</v>
      </c>
      <c r="J631" s="3" t="n">
        <v>489597</v>
      </c>
      <c r="K631" s="3" t="n">
        <v>110847</v>
      </c>
      <c r="L631" s="3" t="n">
        <v>0</v>
      </c>
      <c r="M631" s="4" t="n">
        <f aca="false">IFERROR(D631/C631,0)</f>
        <v>0.111775818639798</v>
      </c>
      <c r="N631" s="4" t="n">
        <f aca="false">IFERROR(E631/C631,0)</f>
        <v>0.363664987405542</v>
      </c>
      <c r="O631" s="5" t="n">
        <f aca="false">IFERROR(F631/MAX(C631-D631,1),0)</f>
        <v>3.59340659340659</v>
      </c>
      <c r="P631" s="5" t="n">
        <f aca="false">IFERROR(F631/C631,0)</f>
        <v>3.19175062972292</v>
      </c>
      <c r="Q631" s="5" t="n">
        <f aca="false">IFERROR(H631/C631,0)</f>
        <v>622.069930730479</v>
      </c>
      <c r="R631" s="4" t="n">
        <f aca="false">IFERROR(I631/F631,0)</f>
        <v>0.191279471243958</v>
      </c>
      <c r="S631" s="4" t="n">
        <f aca="false">IFERROR(K631/J631,0)</f>
        <v>0.226404573557436</v>
      </c>
      <c r="T631" s="6" t="s">
        <v>23</v>
      </c>
    </row>
    <row r="632" customFormat="false" ht="15" hidden="false" customHeight="false" outlineLevel="0" collapsed="false">
      <c r="A632" s="9" t="s">
        <v>665</v>
      </c>
      <c r="B632" s="9" t="s">
        <v>22</v>
      </c>
      <c r="C632" s="9" t="n">
        <v>1199</v>
      </c>
      <c r="D632" s="9" t="n">
        <v>537</v>
      </c>
      <c r="E632" s="9" t="n">
        <v>945</v>
      </c>
      <c r="F632" s="9" t="n">
        <v>9172</v>
      </c>
      <c r="G632" s="9" t="n">
        <v>21</v>
      </c>
      <c r="H632" s="9" t="n">
        <v>1330968.3</v>
      </c>
      <c r="I632" s="9" t="n">
        <v>6832</v>
      </c>
      <c r="J632" s="9" t="n">
        <v>110208</v>
      </c>
      <c r="K632" s="9" t="n">
        <v>96758</v>
      </c>
      <c r="L632" s="9" t="n">
        <v>303</v>
      </c>
      <c r="M632" s="10" t="n">
        <f aca="false">IFERROR(D632/C632,0)</f>
        <v>0.447873227689741</v>
      </c>
      <c r="N632" s="10" t="n">
        <f aca="false">IFERROR(E632/C632,0)</f>
        <v>0.788156797331109</v>
      </c>
      <c r="O632" s="11" t="n">
        <f aca="false">IFERROR(F632/MAX(C632-D632,1),0)</f>
        <v>13.8549848942598</v>
      </c>
      <c r="P632" s="11" t="n">
        <f aca="false">IFERROR(F632/C632,0)</f>
        <v>7.64970809007506</v>
      </c>
      <c r="Q632" s="11" t="n">
        <f aca="false">IFERROR(H632/C632,0)</f>
        <v>1110.06530442035</v>
      </c>
      <c r="R632" s="10" t="n">
        <f aca="false">IFERROR(I632/F632,0)</f>
        <v>0.744875708678587</v>
      </c>
      <c r="S632" s="10" t="n">
        <f aca="false">IFERROR(K632/J632,0)</f>
        <v>0.877958042973287</v>
      </c>
      <c r="T632" s="12" t="s">
        <v>30</v>
      </c>
    </row>
    <row r="633" customFormat="false" ht="15" hidden="false" customHeight="false" outlineLevel="0" collapsed="false">
      <c r="A633" s="3" t="s">
        <v>666</v>
      </c>
      <c r="B633" s="3" t="s">
        <v>29</v>
      </c>
      <c r="C633" s="3" t="n">
        <v>3504</v>
      </c>
      <c r="D633" s="3" t="n">
        <v>473</v>
      </c>
      <c r="E633" s="3" t="n">
        <v>1550</v>
      </c>
      <c r="F633" s="3" t="n">
        <v>17520</v>
      </c>
      <c r="G633" s="3" t="n">
        <v>20</v>
      </c>
      <c r="H633" s="3" t="n">
        <v>1697118.2</v>
      </c>
      <c r="I633" s="3" t="n">
        <v>3960</v>
      </c>
      <c r="J633" s="3" t="n">
        <v>405382</v>
      </c>
      <c r="K633" s="3" t="n">
        <v>111458</v>
      </c>
      <c r="L633" s="3" t="n">
        <v>0</v>
      </c>
      <c r="M633" s="4" t="n">
        <f aca="false">IFERROR(D633/C633,0)</f>
        <v>0.134988584474886</v>
      </c>
      <c r="N633" s="4" t="n">
        <f aca="false">IFERROR(E633/C633,0)</f>
        <v>0.442351598173516</v>
      </c>
      <c r="O633" s="5" t="n">
        <f aca="false">IFERROR(F633/MAX(C633-D633,1),0)</f>
        <v>5.78027053777631</v>
      </c>
      <c r="P633" s="5" t="n">
        <f aca="false">IFERROR(F633/C633,0)</f>
        <v>5</v>
      </c>
      <c r="Q633" s="5" t="n">
        <f aca="false">IFERROR(H633/C633,0)</f>
        <v>484.337385844749</v>
      </c>
      <c r="R633" s="4" t="n">
        <f aca="false">IFERROR(I633/F633,0)</f>
        <v>0.226027397260274</v>
      </c>
      <c r="S633" s="4" t="n">
        <f aca="false">IFERROR(K633/J633,0)</f>
        <v>0.274945606859703</v>
      </c>
      <c r="T633" s="6" t="s">
        <v>23</v>
      </c>
    </row>
    <row r="634" customFormat="false" ht="15" hidden="false" customHeight="false" outlineLevel="0" collapsed="false">
      <c r="A634" s="9" t="s">
        <v>667</v>
      </c>
      <c r="B634" s="9" t="s">
        <v>29</v>
      </c>
      <c r="C634" s="9" t="n">
        <v>2684</v>
      </c>
      <c r="D634" s="9" t="n">
        <v>752</v>
      </c>
      <c r="E634" s="9" t="n">
        <v>1537</v>
      </c>
      <c r="F634" s="9" t="n">
        <v>23516</v>
      </c>
      <c r="G634" s="9" t="n">
        <v>29</v>
      </c>
      <c r="H634" s="9" t="n">
        <v>2743699.6</v>
      </c>
      <c r="I634" s="9" t="n">
        <v>12589</v>
      </c>
      <c r="J634" s="9" t="n">
        <v>474148</v>
      </c>
      <c r="K634" s="9" t="n">
        <v>391392</v>
      </c>
      <c r="L634" s="9" t="n">
        <v>0</v>
      </c>
      <c r="M634" s="10" t="n">
        <f aca="false">IFERROR(D634/C634,0)</f>
        <v>0.280178837555887</v>
      </c>
      <c r="N634" s="10" t="n">
        <f aca="false">IFERROR(E634/C634,0)</f>
        <v>0.572652757078987</v>
      </c>
      <c r="O634" s="11" t="n">
        <f aca="false">IFERROR(F634/MAX(C634-D634,1),0)</f>
        <v>12.1718426501035</v>
      </c>
      <c r="P634" s="11" t="n">
        <f aca="false">IFERROR(F634/C634,0)</f>
        <v>8.76154992548435</v>
      </c>
      <c r="Q634" s="11" t="n">
        <f aca="false">IFERROR(H634/C634,0)</f>
        <v>1022.24277198212</v>
      </c>
      <c r="R634" s="10" t="n">
        <f aca="false">IFERROR(I634/F634,0)</f>
        <v>0.5353376424562</v>
      </c>
      <c r="S634" s="10" t="n">
        <f aca="false">IFERROR(K634/J634,0)</f>
        <v>0.825463779241925</v>
      </c>
      <c r="T634" s="12" t="s">
        <v>30</v>
      </c>
    </row>
    <row r="635" customFormat="false" ht="15" hidden="false" customHeight="false" outlineLevel="0" collapsed="false">
      <c r="A635" s="9" t="s">
        <v>668</v>
      </c>
      <c r="B635" s="9" t="s">
        <v>22</v>
      </c>
      <c r="C635" s="9" t="n">
        <v>1514</v>
      </c>
      <c r="D635" s="9" t="n">
        <v>508</v>
      </c>
      <c r="E635" s="9" t="n">
        <v>791</v>
      </c>
      <c r="F635" s="9" t="n">
        <v>16491</v>
      </c>
      <c r="G635" s="9" t="n">
        <v>38</v>
      </c>
      <c r="H635" s="9" t="n">
        <v>1687017.9</v>
      </c>
      <c r="I635" s="9" t="n">
        <v>8477</v>
      </c>
      <c r="J635" s="9" t="n">
        <v>136272</v>
      </c>
      <c r="K635" s="9" t="n">
        <v>69531</v>
      </c>
      <c r="L635" s="9" t="n">
        <v>500</v>
      </c>
      <c r="M635" s="10" t="n">
        <f aca="false">IFERROR(D635/C635,0)</f>
        <v>0.33553500660502</v>
      </c>
      <c r="N635" s="10" t="n">
        <f aca="false">IFERROR(E635/C635,0)</f>
        <v>0.522457067371202</v>
      </c>
      <c r="O635" s="11" t="n">
        <f aca="false">IFERROR(F635/MAX(C635-D635,1),0)</f>
        <v>16.3926441351889</v>
      </c>
      <c r="P635" s="11" t="n">
        <f aca="false">IFERROR(F635/C635,0)</f>
        <v>10.8923381770145</v>
      </c>
      <c r="Q635" s="11" t="n">
        <f aca="false">IFERROR(H635/C635,0)</f>
        <v>1114.278665786</v>
      </c>
      <c r="R635" s="10" t="n">
        <f aca="false">IFERROR(I635/F635,0)</f>
        <v>0.514037960099448</v>
      </c>
      <c r="S635" s="10" t="n">
        <f aca="false">IFERROR(K635/J635,0)</f>
        <v>0.510236879182811</v>
      </c>
      <c r="T635" s="12" t="s">
        <v>30</v>
      </c>
    </row>
    <row r="636" customFormat="false" ht="15" hidden="false" customHeight="false" outlineLevel="0" collapsed="false">
      <c r="A636" s="9" t="s">
        <v>669</v>
      </c>
      <c r="B636" s="9" t="s">
        <v>22</v>
      </c>
      <c r="C636" s="9" t="n">
        <v>3800</v>
      </c>
      <c r="D636" s="9" t="n">
        <v>1348</v>
      </c>
      <c r="E636" s="9" t="n">
        <v>2062</v>
      </c>
      <c r="F636" s="9" t="n">
        <v>29407</v>
      </c>
      <c r="G636" s="9" t="n">
        <v>26</v>
      </c>
      <c r="H636" s="9" t="n">
        <v>3875962.3</v>
      </c>
      <c r="I636" s="9" t="n">
        <v>19907</v>
      </c>
      <c r="J636" s="9" t="n">
        <v>374879</v>
      </c>
      <c r="K636" s="9" t="n">
        <v>318860</v>
      </c>
      <c r="L636" s="9" t="n">
        <v>540</v>
      </c>
      <c r="M636" s="10" t="n">
        <f aca="false">IFERROR(D636/C636,0)</f>
        <v>0.354736842105263</v>
      </c>
      <c r="N636" s="10" t="n">
        <f aca="false">IFERROR(E636/C636,0)</f>
        <v>0.542631578947369</v>
      </c>
      <c r="O636" s="11" t="n">
        <f aca="false">IFERROR(F636/MAX(C636-D636,1),0)</f>
        <v>11.9930668841762</v>
      </c>
      <c r="P636" s="11" t="n">
        <f aca="false">IFERROR(F636/C636,0)</f>
        <v>7.73868421052632</v>
      </c>
      <c r="Q636" s="11" t="n">
        <f aca="false">IFERROR(H636/C636,0)</f>
        <v>1019.99007894737</v>
      </c>
      <c r="R636" s="10" t="n">
        <f aca="false">IFERROR(I636/F636,0)</f>
        <v>0.676947665521815</v>
      </c>
      <c r="S636" s="10" t="n">
        <f aca="false">IFERROR(K636/J636,0)</f>
        <v>0.850567783204714</v>
      </c>
      <c r="T636" s="12" t="s">
        <v>30</v>
      </c>
    </row>
    <row r="637" customFormat="false" ht="15" hidden="false" customHeight="false" outlineLevel="0" collapsed="false">
      <c r="A637" s="3" t="s">
        <v>670</v>
      </c>
      <c r="B637" s="3" t="s">
        <v>29</v>
      </c>
      <c r="C637" s="3" t="n">
        <v>861</v>
      </c>
      <c r="D637" s="3" t="n">
        <v>75</v>
      </c>
      <c r="E637" s="3" t="n">
        <v>252</v>
      </c>
      <c r="F637" s="3" t="n">
        <v>1057</v>
      </c>
      <c r="G637" s="3" t="n">
        <v>8</v>
      </c>
      <c r="H637" s="3" t="n">
        <v>321809.4</v>
      </c>
      <c r="I637" s="3" t="n">
        <v>164</v>
      </c>
      <c r="J637" s="3" t="n">
        <v>97913</v>
      </c>
      <c r="K637" s="3" t="n">
        <v>22244</v>
      </c>
      <c r="L637" s="3" t="n">
        <v>0</v>
      </c>
      <c r="M637" s="4" t="n">
        <f aca="false">IFERROR(D637/C637,0)</f>
        <v>0.0871080139372822</v>
      </c>
      <c r="N637" s="4" t="n">
        <f aca="false">IFERROR(E637/C637,0)</f>
        <v>0.292682926829268</v>
      </c>
      <c r="O637" s="5" t="n">
        <f aca="false">IFERROR(F637/MAX(C637-D637,1),0)</f>
        <v>1.34478371501272</v>
      </c>
      <c r="P637" s="5" t="n">
        <f aca="false">IFERROR(F637/C637,0)</f>
        <v>1.22764227642276</v>
      </c>
      <c r="Q637" s="5" t="n">
        <f aca="false">IFERROR(H637/C637,0)</f>
        <v>373.762369337979</v>
      </c>
      <c r="R637" s="4" t="n">
        <f aca="false">IFERROR(I637/F637,0)</f>
        <v>0.15515610217597</v>
      </c>
      <c r="S637" s="4" t="n">
        <f aca="false">IFERROR(K637/J637,0)</f>
        <v>0.22718127317108</v>
      </c>
      <c r="T637" s="6" t="s">
        <v>23</v>
      </c>
    </row>
    <row r="638" customFormat="false" ht="15" hidden="false" customHeight="false" outlineLevel="0" collapsed="false">
      <c r="A638" s="9" t="s">
        <v>671</v>
      </c>
      <c r="B638" s="9" t="s">
        <v>26</v>
      </c>
      <c r="C638" s="9" t="n">
        <v>931</v>
      </c>
      <c r="D638" s="9" t="n">
        <v>177</v>
      </c>
      <c r="E638" s="9" t="n">
        <v>501</v>
      </c>
      <c r="F638" s="9" t="n">
        <v>4301</v>
      </c>
      <c r="G638" s="9" t="n">
        <v>20</v>
      </c>
      <c r="H638" s="9" t="n">
        <v>372400</v>
      </c>
      <c r="I638" s="9" t="n">
        <v>2153</v>
      </c>
      <c r="J638" s="9" t="n">
        <v>143088</v>
      </c>
      <c r="K638" s="9" t="n">
        <v>124468</v>
      </c>
      <c r="L638" s="9" t="n">
        <v>180</v>
      </c>
      <c r="M638" s="10" t="n">
        <f aca="false">IFERROR(D638/C638,0)</f>
        <v>0.190118152524168</v>
      </c>
      <c r="N638" s="10" t="n">
        <f aca="false">IFERROR(E638/C638,0)</f>
        <v>0.53813104189044</v>
      </c>
      <c r="O638" s="11" t="n">
        <f aca="false">IFERROR(F638/MAX(C638-D638,1),0)</f>
        <v>5.70424403183024</v>
      </c>
      <c r="P638" s="11" t="n">
        <f aca="false">IFERROR(F638/C638,0)</f>
        <v>4.61976369495167</v>
      </c>
      <c r="Q638" s="11" t="n">
        <f aca="false">IFERROR(H638/C638,0)</f>
        <v>400</v>
      </c>
      <c r="R638" s="10" t="n">
        <f aca="false">IFERROR(I638/F638,0)</f>
        <v>0.500581260172053</v>
      </c>
      <c r="S638" s="10" t="n">
        <f aca="false">IFERROR(K638/J638,0)</f>
        <v>0.869870289611987</v>
      </c>
      <c r="T638" s="12" t="s">
        <v>30</v>
      </c>
    </row>
    <row r="639" customFormat="false" ht="15" hidden="false" customHeight="false" outlineLevel="0" collapsed="false">
      <c r="A639" s="3" t="s">
        <v>672</v>
      </c>
      <c r="B639" s="3" t="s">
        <v>22</v>
      </c>
      <c r="C639" s="3" t="n">
        <v>3654</v>
      </c>
      <c r="D639" s="3" t="n">
        <v>185</v>
      </c>
      <c r="E639" s="3" t="n">
        <v>766</v>
      </c>
      <c r="F639" s="3" t="n">
        <v>3273</v>
      </c>
      <c r="G639" s="3" t="n">
        <v>3</v>
      </c>
      <c r="H639" s="3" t="n">
        <v>1367780.9</v>
      </c>
      <c r="I639" s="3" t="n">
        <v>685</v>
      </c>
      <c r="J639" s="3" t="n">
        <v>324647</v>
      </c>
      <c r="K639" s="3" t="n">
        <v>28736</v>
      </c>
      <c r="L639" s="3" t="n">
        <v>988</v>
      </c>
      <c r="M639" s="4" t="n">
        <f aca="false">IFERROR(D639/C639,0)</f>
        <v>0.0506294471811713</v>
      </c>
      <c r="N639" s="4" t="n">
        <f aca="false">IFERROR(E639/C639,0)</f>
        <v>0.209633278598796</v>
      </c>
      <c r="O639" s="5" t="n">
        <f aca="false">IFERROR(F639/MAX(C639-D639,1),0)</f>
        <v>0.943499567598732</v>
      </c>
      <c r="P639" s="5" t="n">
        <f aca="false">IFERROR(F639/C639,0)</f>
        <v>0.895730706075534</v>
      </c>
      <c r="Q639" s="5" t="n">
        <f aca="false">IFERROR(H639/C639,0)</f>
        <v>374.324274767378</v>
      </c>
      <c r="R639" s="4" t="n">
        <f aca="false">IFERROR(I639/F639,0)</f>
        <v>0.209288114879316</v>
      </c>
      <c r="S639" s="4" t="n">
        <f aca="false">IFERROR(K639/J639,0)</f>
        <v>0.0885146020138797</v>
      </c>
      <c r="T639" s="6" t="s">
        <v>23</v>
      </c>
    </row>
    <row r="640" customFormat="false" ht="15" hidden="false" customHeight="false" outlineLevel="0" collapsed="false">
      <c r="A640" s="9" t="s">
        <v>673</v>
      </c>
      <c r="B640" s="9" t="s">
        <v>26</v>
      </c>
      <c r="C640" s="9" t="n">
        <v>1369</v>
      </c>
      <c r="D640" s="9" t="n">
        <v>414</v>
      </c>
      <c r="E640" s="9" t="n">
        <v>631</v>
      </c>
      <c r="F640" s="9" t="n">
        <v>7876</v>
      </c>
      <c r="G640" s="9" t="n">
        <v>22</v>
      </c>
      <c r="H640" s="9" t="n">
        <v>1198902.2</v>
      </c>
      <c r="I640" s="9" t="n">
        <v>4475</v>
      </c>
      <c r="J640" s="9" t="n">
        <v>252809</v>
      </c>
      <c r="K640" s="9" t="n">
        <v>165101</v>
      </c>
      <c r="L640" s="9" t="n">
        <v>555</v>
      </c>
      <c r="M640" s="10" t="n">
        <f aca="false">IFERROR(D640/C640,0)</f>
        <v>0.302410518626735</v>
      </c>
      <c r="N640" s="10" t="n">
        <f aca="false">IFERROR(E640/C640,0)</f>
        <v>0.460920379839299</v>
      </c>
      <c r="O640" s="11" t="n">
        <f aca="false">IFERROR(F640/MAX(C640-D640,1),0)</f>
        <v>8.24712041884817</v>
      </c>
      <c r="P640" s="11" t="n">
        <f aca="false">IFERROR(F640/C640,0)</f>
        <v>5.75310445580716</v>
      </c>
      <c r="Q640" s="11" t="n">
        <f aca="false">IFERROR(H640/C640,0)</f>
        <v>875.750328707085</v>
      </c>
      <c r="R640" s="10" t="n">
        <f aca="false">IFERROR(I640/F640,0)</f>
        <v>0.568181818181818</v>
      </c>
      <c r="S640" s="10" t="n">
        <f aca="false">IFERROR(K640/J640,0)</f>
        <v>0.653066148752616</v>
      </c>
      <c r="T640" s="12" t="s">
        <v>30</v>
      </c>
    </row>
    <row r="641" customFormat="false" ht="15" hidden="false" customHeight="false" outlineLevel="0" collapsed="false">
      <c r="A641" s="3" t="s">
        <v>674</v>
      </c>
      <c r="B641" s="3" t="s">
        <v>29</v>
      </c>
      <c r="C641" s="3" t="n">
        <v>442</v>
      </c>
      <c r="D641" s="3" t="n">
        <v>55</v>
      </c>
      <c r="E641" s="3" t="n">
        <v>160</v>
      </c>
      <c r="F641" s="3" t="n">
        <v>1319</v>
      </c>
      <c r="G641" s="3" t="n">
        <v>18</v>
      </c>
      <c r="H641" s="3" t="n">
        <v>175570.1</v>
      </c>
      <c r="I641" s="3" t="n">
        <v>221</v>
      </c>
      <c r="J641" s="3" t="n">
        <v>47679</v>
      </c>
      <c r="K641" s="3" t="n">
        <v>13646</v>
      </c>
      <c r="L641" s="3" t="n">
        <v>0</v>
      </c>
      <c r="M641" s="4" t="n">
        <f aca="false">IFERROR(D641/C641,0)</f>
        <v>0.124434389140272</v>
      </c>
      <c r="N641" s="4" t="n">
        <f aca="false">IFERROR(E641/C641,0)</f>
        <v>0.361990950226244</v>
      </c>
      <c r="O641" s="5" t="n">
        <f aca="false">IFERROR(F641/MAX(C641-D641,1),0)</f>
        <v>3.40826873385013</v>
      </c>
      <c r="P641" s="5" t="n">
        <f aca="false">IFERROR(F641/C641,0)</f>
        <v>2.9841628959276</v>
      </c>
      <c r="Q641" s="5" t="n">
        <f aca="false">IFERROR(H641/C641,0)</f>
        <v>397.21742081448</v>
      </c>
      <c r="R641" s="4" t="n">
        <f aca="false">IFERROR(I641/F641,0)</f>
        <v>0.167551175132676</v>
      </c>
      <c r="S641" s="4" t="n">
        <f aca="false">IFERROR(K641/J641,0)</f>
        <v>0.286205667065165</v>
      </c>
      <c r="T641" s="6" t="s">
        <v>23</v>
      </c>
    </row>
    <row r="642" customFormat="false" ht="15" hidden="false" customHeight="false" outlineLevel="0" collapsed="false">
      <c r="A642" s="3" t="s">
        <v>675</v>
      </c>
      <c r="B642" s="3" t="s">
        <v>22</v>
      </c>
      <c r="C642" s="3" t="n">
        <v>874</v>
      </c>
      <c r="D642" s="3" t="n">
        <v>32</v>
      </c>
      <c r="E642" s="3" t="n">
        <v>209</v>
      </c>
      <c r="F642" s="3" t="n">
        <v>1715</v>
      </c>
      <c r="G642" s="3" t="n">
        <v>5</v>
      </c>
      <c r="H642" s="3" t="n">
        <v>116287.7</v>
      </c>
      <c r="I642" s="3" t="n">
        <v>210</v>
      </c>
      <c r="J642" s="3" t="n">
        <v>137812</v>
      </c>
      <c r="K642" s="3" t="n">
        <v>24287</v>
      </c>
      <c r="L642" s="3" t="n">
        <v>194</v>
      </c>
      <c r="M642" s="4" t="n">
        <f aca="false">IFERROR(D642/C642,0)</f>
        <v>0.0366132723112128</v>
      </c>
      <c r="N642" s="4" t="n">
        <f aca="false">IFERROR(E642/C642,0)</f>
        <v>0.239130434782609</v>
      </c>
      <c r="O642" s="5" t="n">
        <f aca="false">IFERROR(F642/MAX(C642-D642,1),0)</f>
        <v>2.03681710213777</v>
      </c>
      <c r="P642" s="5" t="n">
        <f aca="false">IFERROR(F642/C642,0)</f>
        <v>1.96224256292906</v>
      </c>
      <c r="Q642" s="5" t="n">
        <f aca="false">IFERROR(H642/C642,0)</f>
        <v>133.052288329519</v>
      </c>
      <c r="R642" s="4" t="n">
        <f aca="false">IFERROR(I642/F642,0)</f>
        <v>0.122448979591837</v>
      </c>
      <c r="S642" s="4" t="n">
        <f aca="false">IFERROR(K642/J642,0)</f>
        <v>0.176232838940005</v>
      </c>
      <c r="T642" s="6" t="s">
        <v>23</v>
      </c>
    </row>
    <row r="643" customFormat="false" ht="15" hidden="false" customHeight="false" outlineLevel="0" collapsed="false">
      <c r="A643" s="9" t="s">
        <v>676</v>
      </c>
      <c r="B643" s="9" t="s">
        <v>29</v>
      </c>
      <c r="C643" s="9" t="n">
        <v>1783</v>
      </c>
      <c r="D643" s="9" t="n">
        <v>214</v>
      </c>
      <c r="E643" s="9" t="n">
        <v>756</v>
      </c>
      <c r="F643" s="9" t="n">
        <v>8935</v>
      </c>
      <c r="G643" s="9" t="n">
        <v>17</v>
      </c>
      <c r="H643" s="9" t="n">
        <v>1132649.9</v>
      </c>
      <c r="I643" s="9" t="n">
        <v>4854</v>
      </c>
      <c r="J643" s="9" t="n">
        <v>155721</v>
      </c>
      <c r="K643" s="9" t="n">
        <v>79368</v>
      </c>
      <c r="L643" s="9" t="n">
        <v>0</v>
      </c>
      <c r="M643" s="10" t="n">
        <f aca="false">IFERROR(D643/C643,0)</f>
        <v>0.120022434099832</v>
      </c>
      <c r="N643" s="10" t="n">
        <f aca="false">IFERROR(E643/C643,0)</f>
        <v>0.424004486819966</v>
      </c>
      <c r="O643" s="11" t="n">
        <f aca="false">IFERROR(F643/MAX(C643-D643,1),0)</f>
        <v>5.69471000637349</v>
      </c>
      <c r="P643" s="11" t="n">
        <f aca="false">IFERROR(F643/C643,0)</f>
        <v>5.01121704991587</v>
      </c>
      <c r="Q643" s="11" t="n">
        <f aca="false">IFERROR(H643/C643,0)</f>
        <v>635.249523275379</v>
      </c>
      <c r="R643" s="10" t="n">
        <f aca="false">IFERROR(I643/F643,0)</f>
        <v>0.543256855064354</v>
      </c>
      <c r="S643" s="10" t="n">
        <f aca="false">IFERROR(K643/J643,0)</f>
        <v>0.509680775232628</v>
      </c>
      <c r="T643" s="12" t="s">
        <v>30</v>
      </c>
    </row>
    <row r="644" customFormat="false" ht="15" hidden="false" customHeight="false" outlineLevel="0" collapsed="false">
      <c r="A644" s="9" t="s">
        <v>677</v>
      </c>
      <c r="B644" s="9" t="s">
        <v>29</v>
      </c>
      <c r="C644" s="9" t="n">
        <v>472</v>
      </c>
      <c r="D644" s="9" t="n">
        <v>47</v>
      </c>
      <c r="E644" s="9" t="n">
        <v>175</v>
      </c>
      <c r="F644" s="9" t="n">
        <v>3387</v>
      </c>
      <c r="G644" s="9" t="n">
        <v>22</v>
      </c>
      <c r="H644" s="9" t="n">
        <v>367494.4</v>
      </c>
      <c r="I644" s="9" t="n">
        <v>2604</v>
      </c>
      <c r="J644" s="9" t="n">
        <v>75875</v>
      </c>
      <c r="K644" s="9" t="n">
        <v>39776</v>
      </c>
      <c r="L644" s="9" t="n">
        <v>0</v>
      </c>
      <c r="M644" s="10" t="n">
        <f aca="false">IFERROR(D644/C644,0)</f>
        <v>0.0995762711864407</v>
      </c>
      <c r="N644" s="10" t="n">
        <f aca="false">IFERROR(E644/C644,0)</f>
        <v>0.370762711864407</v>
      </c>
      <c r="O644" s="11" t="n">
        <f aca="false">IFERROR(F644/MAX(C644-D644,1),0)</f>
        <v>7.96941176470588</v>
      </c>
      <c r="P644" s="11" t="n">
        <f aca="false">IFERROR(F644/C644,0)</f>
        <v>7.17584745762712</v>
      </c>
      <c r="Q644" s="11" t="n">
        <f aca="false">IFERROR(H644/C644,0)</f>
        <v>778.589830508475</v>
      </c>
      <c r="R644" s="10" t="n">
        <f aca="false">IFERROR(I644/F644,0)</f>
        <v>0.768821966341896</v>
      </c>
      <c r="S644" s="10" t="n">
        <f aca="false">IFERROR(K644/J644,0)</f>
        <v>0.524230642504119</v>
      </c>
      <c r="T644" s="12" t="s">
        <v>30</v>
      </c>
    </row>
    <row r="645" customFormat="false" ht="15" hidden="false" customHeight="false" outlineLevel="0" collapsed="false">
      <c r="A645" s="3" t="s">
        <v>678</v>
      </c>
      <c r="B645" s="3" t="s">
        <v>29</v>
      </c>
      <c r="C645" s="3" t="n">
        <v>3896</v>
      </c>
      <c r="D645" s="3" t="n">
        <v>513</v>
      </c>
      <c r="E645" s="3" t="n">
        <v>1404</v>
      </c>
      <c r="F645" s="3" t="n">
        <v>10479</v>
      </c>
      <c r="G645" s="3" t="n">
        <v>12</v>
      </c>
      <c r="H645" s="3" t="n">
        <v>2089081.7</v>
      </c>
      <c r="I645" s="3" t="n">
        <v>2938</v>
      </c>
      <c r="J645" s="3" t="n">
        <v>313984</v>
      </c>
      <c r="K645" s="3" t="n">
        <v>92753</v>
      </c>
      <c r="L645" s="3" t="n">
        <v>0</v>
      </c>
      <c r="M645" s="4" t="n">
        <f aca="false">IFERROR(D645/C645,0)</f>
        <v>0.131673511293635</v>
      </c>
      <c r="N645" s="4" t="n">
        <f aca="false">IFERROR(E645/C645,0)</f>
        <v>0.360369609856263</v>
      </c>
      <c r="O645" s="5" t="n">
        <f aca="false">IFERROR(F645/MAX(C645-D645,1),0)</f>
        <v>3.09754655631097</v>
      </c>
      <c r="P645" s="5" t="n">
        <f aca="false">IFERROR(F645/C645,0)</f>
        <v>2.689681724846</v>
      </c>
      <c r="Q645" s="5" t="n">
        <f aca="false">IFERROR(H645/C645,0)</f>
        <v>536.211935318275</v>
      </c>
      <c r="R645" s="4" t="n">
        <f aca="false">IFERROR(I645/F645,0)</f>
        <v>0.2803702643382</v>
      </c>
      <c r="S645" s="4" t="n">
        <f aca="false">IFERROR(K645/J645,0)</f>
        <v>0.295406772319609</v>
      </c>
      <c r="T645" s="6" t="s">
        <v>23</v>
      </c>
    </row>
    <row r="646" customFormat="false" ht="15" hidden="false" customHeight="false" outlineLevel="0" collapsed="false">
      <c r="A646" s="3" t="s">
        <v>679</v>
      </c>
      <c r="B646" s="3" t="s">
        <v>26</v>
      </c>
      <c r="C646" s="3" t="n">
        <v>3378</v>
      </c>
      <c r="D646" s="3" t="n">
        <v>569</v>
      </c>
      <c r="E646" s="3" t="n">
        <v>1237</v>
      </c>
      <c r="F646" s="3" t="n">
        <v>13345</v>
      </c>
      <c r="G646" s="3" t="n">
        <v>15</v>
      </c>
      <c r="H646" s="3" t="n">
        <v>1855848.1</v>
      </c>
      <c r="I646" s="3" t="n">
        <v>3103</v>
      </c>
      <c r="J646" s="3" t="n">
        <v>478104</v>
      </c>
      <c r="K646" s="3" t="n">
        <v>107677</v>
      </c>
      <c r="L646" s="3" t="n">
        <v>1911</v>
      </c>
      <c r="M646" s="4" t="n">
        <f aca="false">IFERROR(D646/C646,0)</f>
        <v>0.168442865600947</v>
      </c>
      <c r="N646" s="4" t="n">
        <f aca="false">IFERROR(E646/C646,0)</f>
        <v>0.366193013617525</v>
      </c>
      <c r="O646" s="5" t="n">
        <f aca="false">IFERROR(F646/MAX(C646-D646,1),0)</f>
        <v>4.75080099679601</v>
      </c>
      <c r="P646" s="5" t="n">
        <f aca="false">IFERROR(F646/C646,0)</f>
        <v>3.95056246299586</v>
      </c>
      <c r="Q646" s="5" t="n">
        <f aca="false">IFERROR(H646/C646,0)</f>
        <v>549.392569567792</v>
      </c>
      <c r="R646" s="4" t="n">
        <f aca="false">IFERROR(I646/F646,0)</f>
        <v>0.232521543649307</v>
      </c>
      <c r="S646" s="4" t="n">
        <f aca="false">IFERROR(K646/J646,0)</f>
        <v>0.225216689255894</v>
      </c>
      <c r="T646" s="6" t="s">
        <v>23</v>
      </c>
    </row>
    <row r="647" customFormat="false" ht="15" hidden="false" customHeight="false" outlineLevel="0" collapsed="false">
      <c r="A647" s="3" t="s">
        <v>680</v>
      </c>
      <c r="B647" s="3" t="s">
        <v>22</v>
      </c>
      <c r="C647" s="3" t="n">
        <v>2935</v>
      </c>
      <c r="D647" s="3" t="n">
        <v>458</v>
      </c>
      <c r="E647" s="3" t="n">
        <v>1428</v>
      </c>
      <c r="F647" s="3" t="n">
        <v>10224</v>
      </c>
      <c r="G647" s="3" t="n">
        <v>13</v>
      </c>
      <c r="H647" s="3" t="n">
        <v>1018691.6</v>
      </c>
      <c r="I647" s="3" t="n">
        <v>2043</v>
      </c>
      <c r="J647" s="3" t="n">
        <v>466407</v>
      </c>
      <c r="K647" s="3" t="n">
        <v>118420</v>
      </c>
      <c r="L647" s="3" t="n">
        <v>694</v>
      </c>
      <c r="M647" s="4" t="n">
        <f aca="false">IFERROR(D647/C647,0)</f>
        <v>0.156047700170358</v>
      </c>
      <c r="N647" s="4" t="n">
        <f aca="false">IFERROR(E647/C647,0)</f>
        <v>0.486541737649063</v>
      </c>
      <c r="O647" s="5" t="n">
        <f aca="false">IFERROR(F647/MAX(C647-D647,1),0)</f>
        <v>4.12757367783609</v>
      </c>
      <c r="P647" s="5" t="n">
        <f aca="false">IFERROR(F647/C647,0)</f>
        <v>3.48347529812606</v>
      </c>
      <c r="Q647" s="5" t="n">
        <f aca="false">IFERROR(H647/C647,0)</f>
        <v>347.08402044293</v>
      </c>
      <c r="R647" s="4" t="n">
        <f aca="false">IFERROR(I647/F647,0)</f>
        <v>0.199823943661972</v>
      </c>
      <c r="S647" s="4" t="n">
        <f aca="false">IFERROR(K647/J647,0)</f>
        <v>0.253898419191822</v>
      </c>
      <c r="T647" s="6" t="s">
        <v>23</v>
      </c>
    </row>
    <row r="648" customFormat="false" ht="15" hidden="false" customHeight="false" outlineLevel="0" collapsed="false">
      <c r="A648" s="3" t="s">
        <v>681</v>
      </c>
      <c r="B648" s="3" t="s">
        <v>29</v>
      </c>
      <c r="C648" s="3" t="n">
        <v>1422</v>
      </c>
      <c r="D648" s="3" t="n">
        <v>214</v>
      </c>
      <c r="E648" s="3" t="n">
        <v>657</v>
      </c>
      <c r="F648" s="3" t="n">
        <v>4506</v>
      </c>
      <c r="G648" s="3" t="n">
        <v>9</v>
      </c>
      <c r="H648" s="3" t="n">
        <v>699763.6</v>
      </c>
      <c r="I648" s="3" t="n">
        <v>956</v>
      </c>
      <c r="J648" s="3" t="n">
        <v>118688</v>
      </c>
      <c r="K648" s="3" t="n">
        <v>27304</v>
      </c>
      <c r="L648" s="3" t="n">
        <v>0</v>
      </c>
      <c r="M648" s="4" t="n">
        <f aca="false">IFERROR(D648/C648,0)</f>
        <v>0.150492264416315</v>
      </c>
      <c r="N648" s="4" t="n">
        <f aca="false">IFERROR(E648/C648,0)</f>
        <v>0.462025316455696</v>
      </c>
      <c r="O648" s="5" t="n">
        <f aca="false">IFERROR(F648/MAX(C648-D648,1),0)</f>
        <v>3.73013245033113</v>
      </c>
      <c r="P648" s="5" t="n">
        <f aca="false">IFERROR(F648/C648,0)</f>
        <v>3.16877637130802</v>
      </c>
      <c r="Q648" s="5" t="n">
        <f aca="false">IFERROR(H648/C648,0)</f>
        <v>492.098171589311</v>
      </c>
      <c r="R648" s="4" t="n">
        <f aca="false">IFERROR(I648/F648,0)</f>
        <v>0.212161562361296</v>
      </c>
      <c r="S648" s="4" t="n">
        <f aca="false">IFERROR(K648/J648,0)</f>
        <v>0.23004853060124</v>
      </c>
      <c r="T648" s="6" t="s">
        <v>23</v>
      </c>
    </row>
    <row r="649" customFormat="false" ht="15" hidden="false" customHeight="false" outlineLevel="0" collapsed="false">
      <c r="A649" s="3" t="s">
        <v>682</v>
      </c>
      <c r="B649" s="3" t="s">
        <v>29</v>
      </c>
      <c r="C649" s="3" t="n">
        <v>179</v>
      </c>
      <c r="D649" s="3" t="n">
        <v>25</v>
      </c>
      <c r="E649" s="3" t="n">
        <v>68</v>
      </c>
      <c r="F649" s="3" t="n">
        <v>479</v>
      </c>
      <c r="G649" s="3" t="n">
        <v>11</v>
      </c>
      <c r="H649" s="3" t="n">
        <v>59485.5</v>
      </c>
      <c r="I649" s="3" t="n">
        <v>94</v>
      </c>
      <c r="J649" s="3" t="n">
        <v>32701</v>
      </c>
      <c r="K649" s="3" t="n">
        <v>6585</v>
      </c>
      <c r="L649" s="3" t="n">
        <v>0</v>
      </c>
      <c r="M649" s="4" t="n">
        <f aca="false">IFERROR(D649/C649,0)</f>
        <v>0.139664804469274</v>
      </c>
      <c r="N649" s="4" t="n">
        <f aca="false">IFERROR(E649/C649,0)</f>
        <v>0.379888268156425</v>
      </c>
      <c r="O649" s="5" t="n">
        <f aca="false">IFERROR(F649/MAX(C649-D649,1),0)</f>
        <v>3.11038961038961</v>
      </c>
      <c r="P649" s="5" t="n">
        <f aca="false">IFERROR(F649/C649,0)</f>
        <v>2.67597765363128</v>
      </c>
      <c r="Q649" s="5" t="n">
        <f aca="false">IFERROR(H649/C649,0)</f>
        <v>332.321229050279</v>
      </c>
      <c r="R649" s="4" t="n">
        <f aca="false">IFERROR(I649/F649,0)</f>
        <v>0.196242171189979</v>
      </c>
      <c r="S649" s="4" t="n">
        <f aca="false">IFERROR(K649/J649,0)</f>
        <v>0.201369988685361</v>
      </c>
      <c r="T649" s="6" t="s">
        <v>23</v>
      </c>
    </row>
    <row r="650" customFormat="false" ht="15" hidden="false" customHeight="false" outlineLevel="0" collapsed="false">
      <c r="A650" s="9" t="s">
        <v>683</v>
      </c>
      <c r="B650" s="9" t="s">
        <v>29</v>
      </c>
      <c r="C650" s="9" t="n">
        <v>1681</v>
      </c>
      <c r="D650" s="9" t="n">
        <v>633</v>
      </c>
      <c r="E650" s="9" t="n">
        <v>1119</v>
      </c>
      <c r="F650" s="9" t="n">
        <v>16696</v>
      </c>
      <c r="G650" s="9" t="n">
        <v>32</v>
      </c>
      <c r="H650" s="9" t="n">
        <v>2025398.7</v>
      </c>
      <c r="I650" s="9" t="n">
        <v>14311</v>
      </c>
      <c r="J650" s="9" t="n">
        <v>226973</v>
      </c>
      <c r="K650" s="9" t="n">
        <v>194915</v>
      </c>
      <c r="L650" s="9" t="n">
        <v>0</v>
      </c>
      <c r="M650" s="10" t="n">
        <f aca="false">IFERROR(D650/C650,0)</f>
        <v>0.376561570493754</v>
      </c>
      <c r="N650" s="10" t="n">
        <f aca="false">IFERROR(E650/C650,0)</f>
        <v>0.665675193337299</v>
      </c>
      <c r="O650" s="11" t="n">
        <f aca="false">IFERROR(F650/MAX(C650-D650,1),0)</f>
        <v>15.9312977099237</v>
      </c>
      <c r="P650" s="11" t="n">
        <f aca="false">IFERROR(F650/C650,0)</f>
        <v>9.93218322427127</v>
      </c>
      <c r="Q650" s="11" t="n">
        <f aca="false">IFERROR(H650/C650,0)</f>
        <v>1204.87727543129</v>
      </c>
      <c r="R650" s="10" t="n">
        <f aca="false">IFERROR(I650/F650,0)</f>
        <v>0.857151413512219</v>
      </c>
      <c r="S650" s="10" t="n">
        <f aca="false">IFERROR(K650/J650,0)</f>
        <v>0.858758530750354</v>
      </c>
      <c r="T650" s="12" t="s">
        <v>30</v>
      </c>
    </row>
    <row r="651" customFormat="false" ht="15" hidden="false" customHeight="false" outlineLevel="0" collapsed="false">
      <c r="A651" s="9" t="s">
        <v>684</v>
      </c>
      <c r="B651" s="9" t="s">
        <v>29</v>
      </c>
      <c r="C651" s="9" t="n">
        <v>172</v>
      </c>
      <c r="D651" s="9" t="n">
        <v>49</v>
      </c>
      <c r="E651" s="9" t="n">
        <v>102</v>
      </c>
      <c r="F651" s="9" t="n">
        <v>1374</v>
      </c>
      <c r="G651" s="9" t="n">
        <v>25</v>
      </c>
      <c r="H651" s="9" t="n">
        <v>181988.9</v>
      </c>
      <c r="I651" s="9" t="n">
        <v>1124</v>
      </c>
      <c r="J651" s="9" t="n">
        <v>30052</v>
      </c>
      <c r="K651" s="9" t="n">
        <v>19012</v>
      </c>
      <c r="L651" s="9" t="n">
        <v>0</v>
      </c>
      <c r="M651" s="10" t="n">
        <f aca="false">IFERROR(D651/C651,0)</f>
        <v>0.284883720930233</v>
      </c>
      <c r="N651" s="10" t="n">
        <f aca="false">IFERROR(E651/C651,0)</f>
        <v>0.593023255813954</v>
      </c>
      <c r="O651" s="11" t="n">
        <f aca="false">IFERROR(F651/MAX(C651-D651,1),0)</f>
        <v>11.1707317073171</v>
      </c>
      <c r="P651" s="11" t="n">
        <f aca="false">IFERROR(F651/C651,0)</f>
        <v>7.98837209302326</v>
      </c>
      <c r="Q651" s="11" t="n">
        <f aca="false">IFERROR(H651/C651,0)</f>
        <v>1058.075</v>
      </c>
      <c r="R651" s="10" t="n">
        <f aca="false">IFERROR(I651/F651,0)</f>
        <v>0.818049490538574</v>
      </c>
      <c r="S651" s="10" t="n">
        <f aca="false">IFERROR(K651/J651,0)</f>
        <v>0.63263676294423</v>
      </c>
      <c r="T651" s="12" t="s">
        <v>30</v>
      </c>
    </row>
    <row r="652" customFormat="false" ht="15" hidden="false" customHeight="false" outlineLevel="0" collapsed="false">
      <c r="A652" s="3" t="s">
        <v>685</v>
      </c>
      <c r="B652" s="3" t="s">
        <v>26</v>
      </c>
      <c r="C652" s="3" t="n">
        <v>796</v>
      </c>
      <c r="D652" s="3" t="n">
        <v>83</v>
      </c>
      <c r="E652" s="3" t="n">
        <v>203</v>
      </c>
      <c r="F652" s="3" t="n">
        <v>1060</v>
      </c>
      <c r="G652" s="3" t="n">
        <v>5</v>
      </c>
      <c r="H652" s="3" t="n">
        <v>300830.5</v>
      </c>
      <c r="I652" s="3" t="n">
        <v>53</v>
      </c>
      <c r="J652" s="3" t="n">
        <v>130615</v>
      </c>
      <c r="K652" s="3" t="n">
        <v>21229</v>
      </c>
      <c r="L652" s="3" t="n">
        <v>216</v>
      </c>
      <c r="M652" s="4" t="n">
        <f aca="false">IFERROR(D652/C652,0)</f>
        <v>0.10427135678392</v>
      </c>
      <c r="N652" s="4" t="n">
        <f aca="false">IFERROR(E652/C652,0)</f>
        <v>0.255025125628141</v>
      </c>
      <c r="O652" s="5" t="n">
        <f aca="false">IFERROR(F652/MAX(C652-D652,1),0)</f>
        <v>1.48667601683029</v>
      </c>
      <c r="P652" s="5" t="n">
        <f aca="false">IFERROR(F652/C652,0)</f>
        <v>1.33165829145729</v>
      </c>
      <c r="Q652" s="5" t="n">
        <f aca="false">IFERROR(H652/C652,0)</f>
        <v>377.927763819096</v>
      </c>
      <c r="R652" s="4" t="n">
        <f aca="false">IFERROR(I652/F652,0)</f>
        <v>0.05</v>
      </c>
      <c r="S652" s="4" t="n">
        <f aca="false">IFERROR(K652/J652,0)</f>
        <v>0.162531102859549</v>
      </c>
      <c r="T652" s="6" t="s">
        <v>23</v>
      </c>
    </row>
    <row r="653" customFormat="false" ht="15" hidden="false" customHeight="false" outlineLevel="0" collapsed="false">
      <c r="A653" s="3" t="s">
        <v>686</v>
      </c>
      <c r="B653" s="3" t="s">
        <v>26</v>
      </c>
      <c r="C653" s="3" t="n">
        <v>1675</v>
      </c>
      <c r="D653" s="3" t="n">
        <v>166</v>
      </c>
      <c r="E653" s="3" t="n">
        <v>623</v>
      </c>
      <c r="F653" s="3" t="n">
        <v>2997</v>
      </c>
      <c r="G653" s="3" t="n">
        <v>10</v>
      </c>
      <c r="H653" s="3" t="n">
        <v>839268.4</v>
      </c>
      <c r="I653" s="3" t="n">
        <v>553</v>
      </c>
      <c r="J653" s="3" t="n">
        <v>309948</v>
      </c>
      <c r="K653" s="3" t="n">
        <v>59902</v>
      </c>
      <c r="L653" s="3" t="n">
        <v>462</v>
      </c>
      <c r="M653" s="4" t="n">
        <f aca="false">IFERROR(D653/C653,0)</f>
        <v>0.0991044776119403</v>
      </c>
      <c r="N653" s="4" t="n">
        <f aca="false">IFERROR(E653/C653,0)</f>
        <v>0.371940298507463</v>
      </c>
      <c r="O653" s="5" t="n">
        <f aca="false">IFERROR(F653/MAX(C653-D653,1),0)</f>
        <v>1.98608349900596</v>
      </c>
      <c r="P653" s="5" t="n">
        <f aca="false">IFERROR(F653/C653,0)</f>
        <v>1.78925373134328</v>
      </c>
      <c r="Q653" s="5" t="n">
        <f aca="false">IFERROR(H653/C653,0)</f>
        <v>501.05576119403</v>
      </c>
      <c r="R653" s="4" t="n">
        <f aca="false">IFERROR(I653/F653,0)</f>
        <v>0.184517851184518</v>
      </c>
      <c r="S653" s="4" t="n">
        <f aca="false">IFERROR(K653/J653,0)</f>
        <v>0.193264676655439</v>
      </c>
      <c r="T653" s="6" t="s">
        <v>23</v>
      </c>
    </row>
    <row r="654" customFormat="false" ht="15" hidden="false" customHeight="false" outlineLevel="0" collapsed="false">
      <c r="A654" s="3" t="s">
        <v>687</v>
      </c>
      <c r="B654" s="3" t="s">
        <v>29</v>
      </c>
      <c r="C654" s="3" t="n">
        <v>3501</v>
      </c>
      <c r="D654" s="3" t="n">
        <v>478</v>
      </c>
      <c r="E654" s="3" t="n">
        <v>1581</v>
      </c>
      <c r="F654" s="3" t="n">
        <v>11463</v>
      </c>
      <c r="G654" s="3" t="n">
        <v>13</v>
      </c>
      <c r="H654" s="3" t="n">
        <v>1610673.2</v>
      </c>
      <c r="I654" s="3" t="n">
        <v>1693</v>
      </c>
      <c r="J654" s="3" t="n">
        <v>270594</v>
      </c>
      <c r="K654" s="3" t="n">
        <v>60854</v>
      </c>
      <c r="L654" s="3" t="n">
        <v>0</v>
      </c>
      <c r="M654" s="4" t="n">
        <f aca="false">IFERROR(D654/C654,0)</f>
        <v>0.136532419308769</v>
      </c>
      <c r="N654" s="4" t="n">
        <f aca="false">IFERROR(E654/C654,0)</f>
        <v>0.451585261353899</v>
      </c>
      <c r="O654" s="5" t="n">
        <f aca="false">IFERROR(F654/MAX(C654-D654,1),0)</f>
        <v>3.7919285478002</v>
      </c>
      <c r="P654" s="5" t="n">
        <f aca="false">IFERROR(F654/C654,0)</f>
        <v>3.27420736932305</v>
      </c>
      <c r="Q654" s="5" t="n">
        <f aca="false">IFERROR(H654/C654,0)</f>
        <v>460.060896886604</v>
      </c>
      <c r="R654" s="4" t="n">
        <f aca="false">IFERROR(I654/F654,0)</f>
        <v>0.147692576114455</v>
      </c>
      <c r="S654" s="4" t="n">
        <f aca="false">IFERROR(K654/J654,0)</f>
        <v>0.224890426247441</v>
      </c>
      <c r="T654" s="6" t="s">
        <v>23</v>
      </c>
    </row>
    <row r="655" customFormat="false" ht="15" hidden="false" customHeight="false" outlineLevel="0" collapsed="false">
      <c r="A655" s="3" t="s">
        <v>688</v>
      </c>
      <c r="B655" s="3" t="s">
        <v>26</v>
      </c>
      <c r="C655" s="3" t="n">
        <v>3246</v>
      </c>
      <c r="D655" s="3" t="n">
        <v>503</v>
      </c>
      <c r="E655" s="3" t="n">
        <v>1395</v>
      </c>
      <c r="F655" s="3" t="n">
        <v>13682</v>
      </c>
      <c r="G655" s="3" t="n">
        <v>19</v>
      </c>
      <c r="H655" s="3" t="n">
        <v>1941217.7</v>
      </c>
      <c r="I655" s="3" t="n">
        <v>2484</v>
      </c>
      <c r="J655" s="3" t="n">
        <v>589922</v>
      </c>
      <c r="K655" s="3" t="n">
        <v>138747</v>
      </c>
      <c r="L655" s="3" t="n">
        <v>1805</v>
      </c>
      <c r="M655" s="4" t="n">
        <f aca="false">IFERROR(D655/C655,0)</f>
        <v>0.154959950708564</v>
      </c>
      <c r="N655" s="4" t="n">
        <f aca="false">IFERROR(E655/C655,0)</f>
        <v>0.429759704251386</v>
      </c>
      <c r="O655" s="5" t="n">
        <f aca="false">IFERROR(F655/MAX(C655-D655,1),0)</f>
        <v>4.98796937659497</v>
      </c>
      <c r="P655" s="5" t="n">
        <f aca="false">IFERROR(F655/C655,0)</f>
        <v>4.21503388786198</v>
      </c>
      <c r="Q655" s="5" t="n">
        <f aca="false">IFERROR(H655/C655,0)</f>
        <v>598.033795440542</v>
      </c>
      <c r="R655" s="4" t="n">
        <f aca="false">IFERROR(I655/F655,0)</f>
        <v>0.181552404619208</v>
      </c>
      <c r="S655" s="4" t="n">
        <f aca="false">IFERROR(K655/J655,0)</f>
        <v>0.23519550042209</v>
      </c>
      <c r="T655" s="6" t="s">
        <v>23</v>
      </c>
    </row>
    <row r="656" customFormat="false" ht="15" hidden="false" customHeight="false" outlineLevel="0" collapsed="false">
      <c r="A656" s="3" t="s">
        <v>689</v>
      </c>
      <c r="B656" s="3" t="s">
        <v>29</v>
      </c>
      <c r="C656" s="3" t="n">
        <v>2542</v>
      </c>
      <c r="D656" s="3" t="n">
        <v>135</v>
      </c>
      <c r="E656" s="3" t="n">
        <v>609</v>
      </c>
      <c r="F656" s="3" t="n">
        <v>4728</v>
      </c>
      <c r="G656" s="3" t="n">
        <v>11</v>
      </c>
      <c r="H656" s="3" t="n">
        <v>1016129.1</v>
      </c>
      <c r="I656" s="3" t="n">
        <v>902</v>
      </c>
      <c r="J656" s="3" t="n">
        <v>236265</v>
      </c>
      <c r="K656" s="3" t="n">
        <v>37245</v>
      </c>
      <c r="L656" s="3" t="n">
        <v>0</v>
      </c>
      <c r="M656" s="4" t="n">
        <f aca="false">IFERROR(D656/C656,0)</f>
        <v>0.0531077891424076</v>
      </c>
      <c r="N656" s="4" t="n">
        <f aca="false">IFERROR(E656/C656,0)</f>
        <v>0.239575137686861</v>
      </c>
      <c r="O656" s="5" t="n">
        <f aca="false">IFERROR(F656/MAX(C656-D656,1),0)</f>
        <v>1.96427087660989</v>
      </c>
      <c r="P656" s="5" t="n">
        <f aca="false">IFERROR(F656/C656,0)</f>
        <v>1.85995279307632</v>
      </c>
      <c r="Q656" s="5" t="n">
        <f aca="false">IFERROR(H656/C656,0)</f>
        <v>399.736073957514</v>
      </c>
      <c r="R656" s="4" t="n">
        <f aca="false">IFERROR(I656/F656,0)</f>
        <v>0.19077834179357</v>
      </c>
      <c r="S656" s="4" t="n">
        <f aca="false">IFERROR(K656/J656,0)</f>
        <v>0.157640784712082</v>
      </c>
      <c r="T656" s="6" t="s">
        <v>23</v>
      </c>
    </row>
    <row r="657" customFormat="false" ht="15" hidden="false" customHeight="false" outlineLevel="0" collapsed="false">
      <c r="A657" s="3" t="s">
        <v>690</v>
      </c>
      <c r="B657" s="3" t="s">
        <v>26</v>
      </c>
      <c r="C657" s="3" t="n">
        <v>240</v>
      </c>
      <c r="D657" s="3" t="n">
        <v>6</v>
      </c>
      <c r="E657" s="3" t="n">
        <v>72</v>
      </c>
      <c r="F657" s="3" t="n">
        <v>632</v>
      </c>
      <c r="G657" s="3" t="n">
        <v>12</v>
      </c>
      <c r="H657" s="3" t="n">
        <v>116615.2</v>
      </c>
      <c r="I657" s="3" t="n">
        <v>80</v>
      </c>
      <c r="J657" s="3" t="n">
        <v>19677</v>
      </c>
      <c r="K657" s="3" t="n">
        <v>3058</v>
      </c>
      <c r="L657" s="3" t="n">
        <v>20</v>
      </c>
      <c r="M657" s="4" t="n">
        <f aca="false">IFERROR(D657/C657,0)</f>
        <v>0.025</v>
      </c>
      <c r="N657" s="4" t="n">
        <f aca="false">IFERROR(E657/C657,0)</f>
        <v>0.3</v>
      </c>
      <c r="O657" s="5" t="n">
        <f aca="false">IFERROR(F657/MAX(C657-D657,1),0)</f>
        <v>2.7008547008547</v>
      </c>
      <c r="P657" s="5" t="n">
        <f aca="false">IFERROR(F657/C657,0)</f>
        <v>2.63333333333333</v>
      </c>
      <c r="Q657" s="5" t="n">
        <f aca="false">IFERROR(H657/C657,0)</f>
        <v>485.896666666667</v>
      </c>
      <c r="R657" s="4" t="n">
        <f aca="false">IFERROR(I657/F657,0)</f>
        <v>0.126582278481013</v>
      </c>
      <c r="S657" s="4" t="n">
        <f aca="false">IFERROR(K657/J657,0)</f>
        <v>0.155409869390659</v>
      </c>
      <c r="T657" s="6" t="s">
        <v>23</v>
      </c>
    </row>
    <row r="658" customFormat="false" ht="15" hidden="false" customHeight="false" outlineLevel="0" collapsed="false">
      <c r="A658" s="3" t="s">
        <v>691</v>
      </c>
      <c r="B658" s="3" t="s">
        <v>22</v>
      </c>
      <c r="C658" s="3" t="n">
        <v>1841</v>
      </c>
      <c r="D658" s="3" t="n">
        <v>181</v>
      </c>
      <c r="E658" s="3" t="n">
        <v>628</v>
      </c>
      <c r="F658" s="3" t="n">
        <v>4281</v>
      </c>
      <c r="G658" s="3" t="n">
        <v>7</v>
      </c>
      <c r="H658" s="3" t="n">
        <v>680253.8</v>
      </c>
      <c r="I658" s="3" t="n">
        <v>831</v>
      </c>
      <c r="J658" s="3" t="n">
        <v>316691</v>
      </c>
      <c r="K658" s="3" t="n">
        <v>30348</v>
      </c>
      <c r="L658" s="3" t="n">
        <v>206</v>
      </c>
      <c r="M658" s="4" t="n">
        <f aca="false">IFERROR(D658/C658,0)</f>
        <v>0.0983161325366649</v>
      </c>
      <c r="N658" s="4" t="n">
        <f aca="false">IFERROR(E658/C658,0)</f>
        <v>0.341118957088539</v>
      </c>
      <c r="O658" s="5" t="n">
        <f aca="false">IFERROR(F658/MAX(C658-D658,1),0)</f>
        <v>2.5789156626506</v>
      </c>
      <c r="P658" s="5" t="n">
        <f aca="false">IFERROR(F658/C658,0)</f>
        <v>2.32536664856057</v>
      </c>
      <c r="Q658" s="5" t="n">
        <f aca="false">IFERROR(H658/C658,0)</f>
        <v>369.502335687127</v>
      </c>
      <c r="R658" s="4" t="n">
        <f aca="false">IFERROR(I658/F658,0)</f>
        <v>0.194113524877365</v>
      </c>
      <c r="S658" s="4" t="n">
        <f aca="false">IFERROR(K658/J658,0)</f>
        <v>0.0958284258157005</v>
      </c>
      <c r="T658" s="6" t="s">
        <v>23</v>
      </c>
    </row>
    <row r="659" customFormat="false" ht="15" hidden="false" customHeight="false" outlineLevel="0" collapsed="false">
      <c r="A659" s="3" t="s">
        <v>692</v>
      </c>
      <c r="B659" s="3" t="s">
        <v>29</v>
      </c>
      <c r="C659" s="3" t="n">
        <v>3050</v>
      </c>
      <c r="D659" s="3" t="n">
        <v>411</v>
      </c>
      <c r="E659" s="3" t="n">
        <v>1320</v>
      </c>
      <c r="F659" s="3" t="n">
        <v>7830</v>
      </c>
      <c r="G659" s="3" t="n">
        <v>11</v>
      </c>
      <c r="H659" s="3" t="n">
        <v>1130731.8</v>
      </c>
      <c r="I659" s="3" t="n">
        <v>1217</v>
      </c>
      <c r="J659" s="3" t="n">
        <v>256765</v>
      </c>
      <c r="K659" s="3" t="n">
        <v>60664</v>
      </c>
      <c r="L659" s="3" t="n">
        <v>0</v>
      </c>
      <c r="M659" s="4" t="n">
        <f aca="false">IFERROR(D659/C659,0)</f>
        <v>0.134754098360656</v>
      </c>
      <c r="N659" s="4" t="n">
        <f aca="false">IFERROR(E659/C659,0)</f>
        <v>0.432786885245902</v>
      </c>
      <c r="O659" s="5" t="n">
        <f aca="false">IFERROR(F659/MAX(C659-D659,1),0)</f>
        <v>2.96703296703297</v>
      </c>
      <c r="P659" s="5" t="n">
        <f aca="false">IFERROR(F659/C659,0)</f>
        <v>2.5672131147541</v>
      </c>
      <c r="Q659" s="5" t="n">
        <f aca="false">IFERROR(H659/C659,0)</f>
        <v>370.731737704918</v>
      </c>
      <c r="R659" s="4" t="n">
        <f aca="false">IFERROR(I659/F659,0)</f>
        <v>0.155427841634738</v>
      </c>
      <c r="S659" s="4" t="n">
        <f aca="false">IFERROR(K659/J659,0)</f>
        <v>0.236262730512336</v>
      </c>
      <c r="T659" s="6" t="s">
        <v>23</v>
      </c>
    </row>
    <row r="660" customFormat="false" ht="15" hidden="false" customHeight="false" outlineLevel="0" collapsed="false">
      <c r="A660" s="3" t="s">
        <v>693</v>
      </c>
      <c r="B660" s="3" t="s">
        <v>26</v>
      </c>
      <c r="C660" s="3" t="n">
        <v>2520</v>
      </c>
      <c r="D660" s="3" t="n">
        <v>454</v>
      </c>
      <c r="E660" s="3" t="n">
        <v>1100</v>
      </c>
      <c r="F660" s="3" t="n">
        <v>9725</v>
      </c>
      <c r="G660" s="3" t="n">
        <v>16</v>
      </c>
      <c r="H660" s="3" t="n">
        <v>1526554.4</v>
      </c>
      <c r="I660" s="3" t="n">
        <v>2353</v>
      </c>
      <c r="J660" s="3" t="n">
        <v>186903</v>
      </c>
      <c r="K660" s="3" t="n">
        <v>32729</v>
      </c>
      <c r="L660" s="3" t="n">
        <v>1354</v>
      </c>
      <c r="M660" s="4" t="n">
        <f aca="false">IFERROR(D660/C660,0)</f>
        <v>0.18015873015873</v>
      </c>
      <c r="N660" s="4" t="n">
        <f aca="false">IFERROR(E660/C660,0)</f>
        <v>0.436507936507937</v>
      </c>
      <c r="O660" s="5" t="n">
        <f aca="false">IFERROR(F660/MAX(C660-D660,1),0)</f>
        <v>4.70716360116167</v>
      </c>
      <c r="P660" s="5" t="n">
        <f aca="false">IFERROR(F660/C660,0)</f>
        <v>3.85912698412698</v>
      </c>
      <c r="Q660" s="5" t="n">
        <f aca="false">IFERROR(H660/C660,0)</f>
        <v>605.775555555556</v>
      </c>
      <c r="R660" s="4" t="n">
        <f aca="false">IFERROR(I660/F660,0)</f>
        <v>0.241953727506427</v>
      </c>
      <c r="S660" s="4" t="n">
        <f aca="false">IFERROR(K660/J660,0)</f>
        <v>0.175112223987844</v>
      </c>
      <c r="T660" s="6" t="s">
        <v>23</v>
      </c>
    </row>
    <row r="661" customFormat="false" ht="15" hidden="false" customHeight="false" outlineLevel="0" collapsed="false">
      <c r="A661" s="3" t="s">
        <v>694</v>
      </c>
      <c r="B661" s="3" t="s">
        <v>26</v>
      </c>
      <c r="C661" s="3" t="n">
        <v>266</v>
      </c>
      <c r="D661" s="3" t="n">
        <v>32</v>
      </c>
      <c r="E661" s="3" t="n">
        <v>121</v>
      </c>
      <c r="F661" s="3" t="n">
        <v>687</v>
      </c>
      <c r="G661" s="3" t="n">
        <v>6</v>
      </c>
      <c r="H661" s="3" t="n">
        <v>163035.8</v>
      </c>
      <c r="I661" s="3" t="n">
        <v>151</v>
      </c>
      <c r="J661" s="3" t="n">
        <v>37353</v>
      </c>
      <c r="K661" s="3" t="n">
        <v>9002</v>
      </c>
      <c r="L661" s="3" t="n">
        <v>109</v>
      </c>
      <c r="M661" s="4" t="n">
        <f aca="false">IFERROR(D661/C661,0)</f>
        <v>0.120300751879699</v>
      </c>
      <c r="N661" s="4" t="n">
        <f aca="false">IFERROR(E661/C661,0)</f>
        <v>0.454887218045113</v>
      </c>
      <c r="O661" s="5" t="n">
        <f aca="false">IFERROR(F661/MAX(C661-D661,1),0)</f>
        <v>2.93589743589744</v>
      </c>
      <c r="P661" s="5" t="n">
        <f aca="false">IFERROR(F661/C661,0)</f>
        <v>2.58270676691729</v>
      </c>
      <c r="Q661" s="5" t="n">
        <f aca="false">IFERROR(H661/C661,0)</f>
        <v>612.916541353383</v>
      </c>
      <c r="R661" s="4" t="n">
        <f aca="false">IFERROR(I661/F661,0)</f>
        <v>0.219796215429403</v>
      </c>
      <c r="S661" s="4" t="n">
        <f aca="false">IFERROR(K661/J661,0)</f>
        <v>0.240998045672369</v>
      </c>
      <c r="T661" s="6" t="s">
        <v>23</v>
      </c>
    </row>
    <row r="662" customFormat="false" ht="15" hidden="false" customHeight="false" outlineLevel="0" collapsed="false">
      <c r="A662" s="3" t="s">
        <v>695</v>
      </c>
      <c r="B662" s="3" t="s">
        <v>26</v>
      </c>
      <c r="C662" s="3" t="n">
        <v>2796</v>
      </c>
      <c r="D662" s="3" t="n">
        <v>177</v>
      </c>
      <c r="E662" s="3" t="n">
        <v>788</v>
      </c>
      <c r="F662" s="3" t="n">
        <v>6082</v>
      </c>
      <c r="G662" s="3" t="n">
        <v>7</v>
      </c>
      <c r="H662" s="3" t="n">
        <v>1080337.3</v>
      </c>
      <c r="I662" s="3" t="n">
        <v>937</v>
      </c>
      <c r="J662" s="3" t="n">
        <v>244397</v>
      </c>
      <c r="K662" s="3" t="n">
        <v>48031</v>
      </c>
      <c r="L662" s="3" t="n">
        <v>692</v>
      </c>
      <c r="M662" s="4" t="n">
        <f aca="false">IFERROR(D662/C662,0)</f>
        <v>0.0633047210300429</v>
      </c>
      <c r="N662" s="4" t="n">
        <f aca="false">IFERROR(E662/C662,0)</f>
        <v>0.281831187410587</v>
      </c>
      <c r="O662" s="5" t="n">
        <f aca="false">IFERROR(F662/MAX(C662-D662,1),0)</f>
        <v>2.32226040473463</v>
      </c>
      <c r="P662" s="5" t="n">
        <f aca="false">IFERROR(F662/C662,0)</f>
        <v>2.17525035765379</v>
      </c>
      <c r="Q662" s="5" t="n">
        <f aca="false">IFERROR(H662/C662,0)</f>
        <v>386.386731044349</v>
      </c>
      <c r="R662" s="4" t="n">
        <f aca="false">IFERROR(I662/F662,0)</f>
        <v>0.15406116409076</v>
      </c>
      <c r="S662" s="4" t="n">
        <f aca="false">IFERROR(K662/J662,0)</f>
        <v>0.196528598959889</v>
      </c>
      <c r="T662" s="6" t="s">
        <v>23</v>
      </c>
    </row>
    <row r="663" customFormat="false" ht="15" hidden="false" customHeight="false" outlineLevel="0" collapsed="false">
      <c r="A663" s="3" t="s">
        <v>696</v>
      </c>
      <c r="B663" s="3" t="s">
        <v>22</v>
      </c>
      <c r="C663" s="3" t="n">
        <v>3216</v>
      </c>
      <c r="D663" s="3" t="n">
        <v>333</v>
      </c>
      <c r="E663" s="3" t="n">
        <v>895</v>
      </c>
      <c r="F663" s="3" t="n">
        <v>6379</v>
      </c>
      <c r="G663" s="3" t="n">
        <v>9</v>
      </c>
      <c r="H663" s="3" t="n">
        <v>1025147.2</v>
      </c>
      <c r="I663" s="3" t="n">
        <v>1632</v>
      </c>
      <c r="J663" s="3" t="n">
        <v>481156</v>
      </c>
      <c r="K663" s="3" t="n">
        <v>71634</v>
      </c>
      <c r="L663" s="3" t="n">
        <v>376</v>
      </c>
      <c r="M663" s="4" t="n">
        <f aca="false">IFERROR(D663/C663,0)</f>
        <v>0.103544776119403</v>
      </c>
      <c r="N663" s="4" t="n">
        <f aca="false">IFERROR(E663/C663,0)</f>
        <v>0.278296019900498</v>
      </c>
      <c r="O663" s="5" t="n">
        <f aca="false">IFERROR(F663/MAX(C663-D663,1),0)</f>
        <v>2.21262573707943</v>
      </c>
      <c r="P663" s="5" t="n">
        <f aca="false">IFERROR(F663/C663,0)</f>
        <v>1.98351990049751</v>
      </c>
      <c r="Q663" s="5" t="n">
        <f aca="false">IFERROR(H663/C663,0)</f>
        <v>318.764676616915</v>
      </c>
      <c r="R663" s="4" t="n">
        <f aca="false">IFERROR(I663/F663,0)</f>
        <v>0.255839473271673</v>
      </c>
      <c r="S663" s="4" t="n">
        <f aca="false">IFERROR(K663/J663,0)</f>
        <v>0.148878949862415</v>
      </c>
      <c r="T663" s="6" t="s">
        <v>23</v>
      </c>
    </row>
    <row r="664" customFormat="false" ht="15" hidden="false" customHeight="false" outlineLevel="0" collapsed="false">
      <c r="A664" s="3" t="s">
        <v>697</v>
      </c>
      <c r="B664" s="3" t="s">
        <v>29</v>
      </c>
      <c r="C664" s="3" t="n">
        <v>3910</v>
      </c>
      <c r="D664" s="3" t="n">
        <v>223</v>
      </c>
      <c r="E664" s="3" t="n">
        <v>1091</v>
      </c>
      <c r="F664" s="3" t="n">
        <v>3224</v>
      </c>
      <c r="G664" s="3" t="n">
        <v>4</v>
      </c>
      <c r="H664" s="3" t="n">
        <v>1249277.7</v>
      </c>
      <c r="I664" s="3" t="n">
        <v>432</v>
      </c>
      <c r="J664" s="3" t="n">
        <v>603964</v>
      </c>
      <c r="K664" s="3" t="n">
        <v>122482</v>
      </c>
      <c r="L664" s="3" t="n">
        <v>0</v>
      </c>
      <c r="M664" s="4" t="n">
        <f aca="false">IFERROR(D664/C664,0)</f>
        <v>0.0570332480818414</v>
      </c>
      <c r="N664" s="4" t="n">
        <f aca="false">IFERROR(E664/C664,0)</f>
        <v>0.279028132992327</v>
      </c>
      <c r="O664" s="5" t="n">
        <f aca="false">IFERROR(F664/MAX(C664-D664,1),0)</f>
        <v>0.874423650664497</v>
      </c>
      <c r="P664" s="5" t="n">
        <f aca="false">IFERROR(F664/C664,0)</f>
        <v>0.824552429667519</v>
      </c>
      <c r="Q664" s="5" t="n">
        <f aca="false">IFERROR(H664/C664,0)</f>
        <v>319.508363171356</v>
      </c>
      <c r="R664" s="4" t="n">
        <f aca="false">IFERROR(I664/F664,0)</f>
        <v>0.133995037220844</v>
      </c>
      <c r="S664" s="4" t="n">
        <f aca="false">IFERROR(K664/J664,0)</f>
        <v>0.202796855441715</v>
      </c>
      <c r="T664" s="6" t="s">
        <v>23</v>
      </c>
    </row>
    <row r="665" customFormat="false" ht="15" hidden="false" customHeight="false" outlineLevel="0" collapsed="false">
      <c r="A665" s="9" t="s">
        <v>698</v>
      </c>
      <c r="B665" s="9" t="s">
        <v>29</v>
      </c>
      <c r="C665" s="9" t="n">
        <v>2610</v>
      </c>
      <c r="D665" s="9" t="n">
        <v>817</v>
      </c>
      <c r="E665" s="9" t="n">
        <v>1491</v>
      </c>
      <c r="F665" s="9" t="n">
        <v>11642</v>
      </c>
      <c r="G665" s="9" t="n">
        <v>17</v>
      </c>
      <c r="H665" s="9" t="n">
        <v>2539460.7</v>
      </c>
      <c r="I665" s="9" t="n">
        <v>6742</v>
      </c>
      <c r="J665" s="9" t="n">
        <v>314523</v>
      </c>
      <c r="K665" s="9" t="n">
        <v>154062</v>
      </c>
      <c r="L665" s="9" t="n">
        <v>0</v>
      </c>
      <c r="M665" s="10" t="n">
        <f aca="false">IFERROR(D665/C665,0)</f>
        <v>0.313026819923372</v>
      </c>
      <c r="N665" s="10" t="n">
        <f aca="false">IFERROR(E665/C665,0)</f>
        <v>0.571264367816092</v>
      </c>
      <c r="O665" s="11" t="n">
        <f aca="false">IFERROR(F665/MAX(C665-D665,1),0)</f>
        <v>6.49302844394869</v>
      </c>
      <c r="P665" s="11" t="n">
        <f aca="false">IFERROR(F665/C665,0)</f>
        <v>4.46053639846743</v>
      </c>
      <c r="Q665" s="11" t="n">
        <f aca="false">IFERROR(H665/C665,0)</f>
        <v>972.973448275862</v>
      </c>
      <c r="R665" s="10" t="n">
        <f aca="false">IFERROR(I665/F665,0)</f>
        <v>0.579110118536334</v>
      </c>
      <c r="S665" s="10" t="n">
        <f aca="false">IFERROR(K665/J665,0)</f>
        <v>0.489827453000258</v>
      </c>
      <c r="T665" s="12" t="s">
        <v>30</v>
      </c>
    </row>
    <row r="666" customFormat="false" ht="15" hidden="false" customHeight="false" outlineLevel="0" collapsed="false">
      <c r="A666" s="3" t="s">
        <v>699</v>
      </c>
      <c r="B666" s="3" t="s">
        <v>22</v>
      </c>
      <c r="C666" s="3" t="n">
        <v>2550</v>
      </c>
      <c r="D666" s="3" t="n">
        <v>358</v>
      </c>
      <c r="E666" s="3" t="n">
        <v>944</v>
      </c>
      <c r="F666" s="3" t="n">
        <v>9115</v>
      </c>
      <c r="G666" s="3" t="n">
        <v>15</v>
      </c>
      <c r="H666" s="3" t="n">
        <v>1492065.3</v>
      </c>
      <c r="I666" s="3" t="n">
        <v>2379</v>
      </c>
      <c r="J666" s="3" t="n">
        <v>244428</v>
      </c>
      <c r="K666" s="3" t="n">
        <v>35097</v>
      </c>
      <c r="L666" s="3" t="n">
        <v>531</v>
      </c>
      <c r="M666" s="4" t="n">
        <f aca="false">IFERROR(D666/C666,0)</f>
        <v>0.140392156862745</v>
      </c>
      <c r="N666" s="4" t="n">
        <f aca="false">IFERROR(E666/C666,0)</f>
        <v>0.370196078431373</v>
      </c>
      <c r="O666" s="5" t="n">
        <f aca="false">IFERROR(F666/MAX(C666-D666,1),0)</f>
        <v>4.15830291970803</v>
      </c>
      <c r="P666" s="5" t="n">
        <f aca="false">IFERROR(F666/C666,0)</f>
        <v>3.57450980392157</v>
      </c>
      <c r="Q666" s="5" t="n">
        <f aca="false">IFERROR(H666/C666,0)</f>
        <v>585.123647058824</v>
      </c>
      <c r="R666" s="4" t="n">
        <f aca="false">IFERROR(I666/F666,0)</f>
        <v>0.260998354360944</v>
      </c>
      <c r="S666" s="4" t="n">
        <f aca="false">IFERROR(K666/J666,0)</f>
        <v>0.143588295939909</v>
      </c>
      <c r="T666" s="6" t="s">
        <v>23</v>
      </c>
    </row>
    <row r="667" customFormat="false" ht="15" hidden="false" customHeight="false" outlineLevel="0" collapsed="false">
      <c r="A667" s="3" t="s">
        <v>700</v>
      </c>
      <c r="B667" s="3" t="s">
        <v>29</v>
      </c>
      <c r="C667" s="3" t="n">
        <v>1553</v>
      </c>
      <c r="D667" s="3" t="n">
        <v>172</v>
      </c>
      <c r="E667" s="3" t="n">
        <v>529</v>
      </c>
      <c r="F667" s="3" t="n">
        <v>5480</v>
      </c>
      <c r="G667" s="3" t="n">
        <v>16</v>
      </c>
      <c r="H667" s="3" t="n">
        <v>849846.3</v>
      </c>
      <c r="I667" s="3" t="n">
        <v>1045</v>
      </c>
      <c r="J667" s="3" t="n">
        <v>251314</v>
      </c>
      <c r="K667" s="3" t="n">
        <v>44766</v>
      </c>
      <c r="L667" s="3" t="n">
        <v>0</v>
      </c>
      <c r="M667" s="4" t="n">
        <f aca="false">IFERROR(D667/C667,0)</f>
        <v>0.110753380553767</v>
      </c>
      <c r="N667" s="4" t="n">
        <f aca="false">IFERROR(E667/C667,0)</f>
        <v>0.340631036703155</v>
      </c>
      <c r="O667" s="5" t="n">
        <f aca="false">IFERROR(F667/MAX(C667-D667,1),0)</f>
        <v>3.96813902968863</v>
      </c>
      <c r="P667" s="5" t="n">
        <f aca="false">IFERROR(F667/C667,0)</f>
        <v>3.52865421764327</v>
      </c>
      <c r="Q667" s="5" t="n">
        <f aca="false">IFERROR(H667/C667,0)</f>
        <v>547.228783000644</v>
      </c>
      <c r="R667" s="4" t="n">
        <f aca="false">IFERROR(I667/F667,0)</f>
        <v>0.190693430656934</v>
      </c>
      <c r="S667" s="4" t="n">
        <f aca="false">IFERROR(K667/J667,0)</f>
        <v>0.17812776049086</v>
      </c>
      <c r="T667" s="6" t="s">
        <v>23</v>
      </c>
    </row>
    <row r="668" customFormat="false" ht="15" hidden="false" customHeight="false" outlineLevel="0" collapsed="false">
      <c r="A668" s="3" t="s">
        <v>701</v>
      </c>
      <c r="B668" s="3" t="s">
        <v>22</v>
      </c>
      <c r="C668" s="3" t="n">
        <v>496</v>
      </c>
      <c r="D668" s="3" t="n">
        <v>75</v>
      </c>
      <c r="E668" s="3" t="n">
        <v>180</v>
      </c>
      <c r="F668" s="3" t="n">
        <v>1655</v>
      </c>
      <c r="G668" s="3" t="n">
        <v>15</v>
      </c>
      <c r="H668" s="3" t="n">
        <v>249976.8</v>
      </c>
      <c r="I668" s="3" t="n">
        <v>452</v>
      </c>
      <c r="J668" s="3" t="n">
        <v>40288</v>
      </c>
      <c r="K668" s="3" t="n">
        <v>7540</v>
      </c>
      <c r="L668" s="3" t="n">
        <v>79</v>
      </c>
      <c r="M668" s="4" t="n">
        <f aca="false">IFERROR(D668/C668,0)</f>
        <v>0.151209677419355</v>
      </c>
      <c r="N668" s="4" t="n">
        <f aca="false">IFERROR(E668/C668,0)</f>
        <v>0.362903225806452</v>
      </c>
      <c r="O668" s="5" t="n">
        <f aca="false">IFERROR(F668/MAX(C668-D668,1),0)</f>
        <v>3.93111638954869</v>
      </c>
      <c r="P668" s="5" t="n">
        <f aca="false">IFERROR(F668/C668,0)</f>
        <v>3.3366935483871</v>
      </c>
      <c r="Q668" s="5" t="n">
        <f aca="false">IFERROR(H668/C668,0)</f>
        <v>503.985483870968</v>
      </c>
      <c r="R668" s="4" t="n">
        <f aca="false">IFERROR(I668/F668,0)</f>
        <v>0.273111782477341</v>
      </c>
      <c r="S668" s="4" t="n">
        <f aca="false">IFERROR(K668/J668,0)</f>
        <v>0.187152501985703</v>
      </c>
      <c r="T668" s="6" t="s">
        <v>23</v>
      </c>
    </row>
    <row r="669" customFormat="false" ht="15" hidden="false" customHeight="false" outlineLevel="0" collapsed="false">
      <c r="A669" s="3" t="s">
        <v>702</v>
      </c>
      <c r="B669" s="3" t="s">
        <v>29</v>
      </c>
      <c r="C669" s="3" t="n">
        <v>1958</v>
      </c>
      <c r="D669" s="3" t="n">
        <v>286</v>
      </c>
      <c r="E669" s="3" t="n">
        <v>796</v>
      </c>
      <c r="F669" s="3" t="n">
        <v>6191</v>
      </c>
      <c r="G669" s="3" t="n">
        <v>14</v>
      </c>
      <c r="H669" s="3" t="n">
        <v>767025.7</v>
      </c>
      <c r="I669" s="3" t="n">
        <v>1582</v>
      </c>
      <c r="J669" s="3" t="n">
        <v>365287</v>
      </c>
      <c r="K669" s="3" t="n">
        <v>97432</v>
      </c>
      <c r="L669" s="3" t="n">
        <v>0</v>
      </c>
      <c r="M669" s="4" t="n">
        <f aca="false">IFERROR(D669/C669,0)</f>
        <v>0.146067415730337</v>
      </c>
      <c r="N669" s="4" t="n">
        <f aca="false">IFERROR(E669/C669,0)</f>
        <v>0.406537282941777</v>
      </c>
      <c r="O669" s="5" t="n">
        <f aca="false">IFERROR(F669/MAX(C669-D669,1),0)</f>
        <v>3.70275119617225</v>
      </c>
      <c r="P669" s="5" t="n">
        <f aca="false">IFERROR(F669/C669,0)</f>
        <v>3.16189989785495</v>
      </c>
      <c r="Q669" s="5" t="n">
        <f aca="false">IFERROR(H669/C669,0)</f>
        <v>391.73937691522</v>
      </c>
      <c r="R669" s="4" t="n">
        <f aca="false">IFERROR(I669/F669,0)</f>
        <v>0.255532224196414</v>
      </c>
      <c r="S669" s="4" t="n">
        <f aca="false">IFERROR(K669/J669,0)</f>
        <v>0.266727258292794</v>
      </c>
      <c r="T669" s="6" t="s">
        <v>23</v>
      </c>
    </row>
    <row r="670" customFormat="false" ht="15" hidden="false" customHeight="false" outlineLevel="0" collapsed="false">
      <c r="A670" s="3" t="s">
        <v>703</v>
      </c>
      <c r="B670" s="3" t="s">
        <v>22</v>
      </c>
      <c r="C670" s="3" t="n">
        <v>1336</v>
      </c>
      <c r="D670" s="3" t="n">
        <v>132</v>
      </c>
      <c r="E670" s="3" t="n">
        <v>408</v>
      </c>
      <c r="F670" s="3" t="n">
        <v>3076</v>
      </c>
      <c r="G670" s="3" t="n">
        <v>10</v>
      </c>
      <c r="H670" s="3" t="n">
        <v>568396.9</v>
      </c>
      <c r="I670" s="3" t="n">
        <v>567</v>
      </c>
      <c r="J670" s="3" t="n">
        <v>169017</v>
      </c>
      <c r="K670" s="3" t="n">
        <v>29367</v>
      </c>
      <c r="L670" s="3" t="n">
        <v>291</v>
      </c>
      <c r="M670" s="4" t="n">
        <f aca="false">IFERROR(D670/C670,0)</f>
        <v>0.0988023952095808</v>
      </c>
      <c r="N670" s="4" t="n">
        <f aca="false">IFERROR(E670/C670,0)</f>
        <v>0.305389221556886</v>
      </c>
      <c r="O670" s="5" t="n">
        <f aca="false">IFERROR(F670/MAX(C670-D670,1),0)</f>
        <v>2.55481727574751</v>
      </c>
      <c r="P670" s="5" t="n">
        <f aca="false">IFERROR(F670/C670,0)</f>
        <v>2.30239520958084</v>
      </c>
      <c r="Q670" s="5" t="n">
        <f aca="false">IFERROR(H670/C670,0)</f>
        <v>425.446781437126</v>
      </c>
      <c r="R670" s="4" t="n">
        <f aca="false">IFERROR(I670/F670,0)</f>
        <v>0.184330299089727</v>
      </c>
      <c r="S670" s="4" t="n">
        <f aca="false">IFERROR(K670/J670,0)</f>
        <v>0.173751752782265</v>
      </c>
      <c r="T670" s="6" t="s">
        <v>23</v>
      </c>
    </row>
    <row r="671" customFormat="false" ht="15" hidden="false" customHeight="false" outlineLevel="0" collapsed="false">
      <c r="A671" s="9" t="s">
        <v>704</v>
      </c>
      <c r="B671" s="9" t="s">
        <v>22</v>
      </c>
      <c r="C671" s="9" t="n">
        <v>1244</v>
      </c>
      <c r="D671" s="9" t="n">
        <v>401</v>
      </c>
      <c r="E671" s="9" t="n">
        <v>604</v>
      </c>
      <c r="F671" s="9" t="n">
        <v>7367</v>
      </c>
      <c r="G671" s="9" t="n">
        <v>19</v>
      </c>
      <c r="H671" s="9" t="n">
        <v>1229266.3</v>
      </c>
      <c r="I671" s="9" t="n">
        <v>4126</v>
      </c>
      <c r="J671" s="9" t="n">
        <v>104684</v>
      </c>
      <c r="K671" s="9" t="n">
        <v>36639</v>
      </c>
      <c r="L671" s="9" t="n">
        <v>403</v>
      </c>
      <c r="M671" s="10" t="n">
        <f aca="false">IFERROR(D671/C671,0)</f>
        <v>0.322347266881029</v>
      </c>
      <c r="N671" s="10" t="n">
        <f aca="false">IFERROR(E671/C671,0)</f>
        <v>0.485530546623794</v>
      </c>
      <c r="O671" s="11" t="n">
        <f aca="false">IFERROR(F671/MAX(C671-D671,1),0)</f>
        <v>8.73902728351127</v>
      </c>
      <c r="P671" s="11" t="n">
        <f aca="false">IFERROR(F671/C671,0)</f>
        <v>5.92202572347267</v>
      </c>
      <c r="Q671" s="11" t="n">
        <f aca="false">IFERROR(H671/C671,0)</f>
        <v>988.156189710611</v>
      </c>
      <c r="R671" s="10" t="n">
        <f aca="false">IFERROR(I671/F671,0)</f>
        <v>0.560065155422832</v>
      </c>
      <c r="S671" s="10" t="n">
        <f aca="false">IFERROR(K671/J671,0)</f>
        <v>0.34999617897673</v>
      </c>
      <c r="T671" s="12" t="s">
        <v>30</v>
      </c>
    </row>
    <row r="672" customFormat="false" ht="15" hidden="false" customHeight="false" outlineLevel="0" collapsed="false">
      <c r="A672" s="9" t="s">
        <v>705</v>
      </c>
      <c r="B672" s="9" t="s">
        <v>22</v>
      </c>
      <c r="C672" s="9" t="n">
        <v>2587</v>
      </c>
      <c r="D672" s="9" t="n">
        <v>563</v>
      </c>
      <c r="E672" s="9" t="n">
        <v>1129</v>
      </c>
      <c r="F672" s="9" t="n">
        <v>15285</v>
      </c>
      <c r="G672" s="9" t="n">
        <v>14</v>
      </c>
      <c r="H672" s="9" t="n">
        <v>2206121.5</v>
      </c>
      <c r="I672" s="9" t="n">
        <v>10358</v>
      </c>
      <c r="J672" s="9" t="n">
        <v>305505</v>
      </c>
      <c r="K672" s="9" t="n">
        <v>218551</v>
      </c>
      <c r="L672" s="9" t="n">
        <v>751</v>
      </c>
      <c r="M672" s="10" t="n">
        <f aca="false">IFERROR(D672/C672,0)</f>
        <v>0.217626594511017</v>
      </c>
      <c r="N672" s="10" t="n">
        <f aca="false">IFERROR(E672/C672,0)</f>
        <v>0.436412833397758</v>
      </c>
      <c r="O672" s="11" t="n">
        <f aca="false">IFERROR(F672/MAX(C672-D672,1),0)</f>
        <v>7.55187747035573</v>
      </c>
      <c r="P672" s="11" t="n">
        <f aca="false">IFERROR(F672/C672,0)</f>
        <v>5.90838809431774</v>
      </c>
      <c r="Q672" s="11" t="n">
        <f aca="false">IFERROR(H672/C672,0)</f>
        <v>852.77212988017</v>
      </c>
      <c r="R672" s="10" t="n">
        <f aca="false">IFERROR(I672/F672,0)</f>
        <v>0.677657834478247</v>
      </c>
      <c r="S672" s="10" t="n">
        <f aca="false">IFERROR(K672/J672,0)</f>
        <v>0.715376180422579</v>
      </c>
      <c r="T672" s="12" t="s">
        <v>30</v>
      </c>
    </row>
    <row r="673" customFormat="false" ht="15" hidden="false" customHeight="false" outlineLevel="0" collapsed="false">
      <c r="A673" s="3" t="s">
        <v>706</v>
      </c>
      <c r="B673" s="3" t="s">
        <v>29</v>
      </c>
      <c r="C673" s="3" t="n">
        <v>3044</v>
      </c>
      <c r="D673" s="3" t="n">
        <v>153</v>
      </c>
      <c r="E673" s="3" t="n">
        <v>1164</v>
      </c>
      <c r="F673" s="3" t="n">
        <v>5081</v>
      </c>
      <c r="G673" s="3" t="n">
        <v>7</v>
      </c>
      <c r="H673" s="3" t="n">
        <v>886577.8</v>
      </c>
      <c r="I673" s="3" t="n">
        <v>615</v>
      </c>
      <c r="J673" s="3" t="n">
        <v>403396</v>
      </c>
      <c r="K673" s="3" t="n">
        <v>70084</v>
      </c>
      <c r="L673" s="3" t="n">
        <v>0</v>
      </c>
      <c r="M673" s="4" t="n">
        <f aca="false">IFERROR(D673/C673,0)</f>
        <v>0.0502628120893561</v>
      </c>
      <c r="N673" s="4" t="n">
        <f aca="false">IFERROR(E673/C673,0)</f>
        <v>0.382391590013141</v>
      </c>
      <c r="O673" s="5" t="n">
        <f aca="false">IFERROR(F673/MAX(C673-D673,1),0)</f>
        <v>1.75752334832238</v>
      </c>
      <c r="P673" s="5" t="n">
        <f aca="false">IFERROR(F673/C673,0)</f>
        <v>1.669185282523</v>
      </c>
      <c r="Q673" s="5" t="n">
        <f aca="false">IFERROR(H673/C673,0)</f>
        <v>291.25420499343</v>
      </c>
      <c r="R673" s="4" t="n">
        <f aca="false">IFERROR(I673/F673,0)</f>
        <v>0.121039165518599</v>
      </c>
      <c r="S673" s="4" t="n">
        <f aca="false">IFERROR(K673/J673,0)</f>
        <v>0.173734989935448</v>
      </c>
      <c r="T673" s="6" t="s">
        <v>23</v>
      </c>
    </row>
    <row r="674" customFormat="false" ht="15" hidden="false" customHeight="false" outlineLevel="0" collapsed="false">
      <c r="A674" s="3" t="s">
        <v>707</v>
      </c>
      <c r="B674" s="3" t="s">
        <v>26</v>
      </c>
      <c r="C674" s="3" t="n">
        <v>1404</v>
      </c>
      <c r="D674" s="3" t="n">
        <v>211</v>
      </c>
      <c r="E674" s="3" t="n">
        <v>541</v>
      </c>
      <c r="F674" s="3" t="n">
        <v>4838</v>
      </c>
      <c r="G674" s="3" t="n">
        <v>12</v>
      </c>
      <c r="H674" s="3" t="n">
        <v>578370.6</v>
      </c>
      <c r="I674" s="3" t="n">
        <v>1030</v>
      </c>
      <c r="J674" s="3" t="n">
        <v>220784</v>
      </c>
      <c r="K674" s="3" t="n">
        <v>34368</v>
      </c>
      <c r="L674" s="3" t="n">
        <v>436</v>
      </c>
      <c r="M674" s="4" t="n">
        <f aca="false">IFERROR(D674/C674,0)</f>
        <v>0.1502849002849</v>
      </c>
      <c r="N674" s="4" t="n">
        <f aca="false">IFERROR(E674/C674,0)</f>
        <v>0.385327635327635</v>
      </c>
      <c r="O674" s="5" t="n">
        <f aca="false">IFERROR(F674/MAX(C674-D674,1),0)</f>
        <v>4.05532271584241</v>
      </c>
      <c r="P674" s="5" t="n">
        <f aca="false">IFERROR(F674/C674,0)</f>
        <v>3.44586894586895</v>
      </c>
      <c r="Q674" s="5" t="n">
        <f aca="false">IFERROR(H674/C674,0)</f>
        <v>411.944871794872</v>
      </c>
      <c r="R674" s="4" t="n">
        <f aca="false">IFERROR(I674/F674,0)</f>
        <v>0.212897891690781</v>
      </c>
      <c r="S674" s="4" t="n">
        <f aca="false">IFERROR(K674/J674,0)</f>
        <v>0.155663453873469</v>
      </c>
      <c r="T674" s="6" t="s">
        <v>23</v>
      </c>
    </row>
    <row r="675" customFormat="false" ht="15" hidden="false" customHeight="false" outlineLevel="0" collapsed="false">
      <c r="A675" s="3" t="s">
        <v>708</v>
      </c>
      <c r="B675" s="3" t="s">
        <v>29</v>
      </c>
      <c r="C675" s="3" t="n">
        <v>3498</v>
      </c>
      <c r="D675" s="3" t="n">
        <v>157</v>
      </c>
      <c r="E675" s="3" t="n">
        <v>1301</v>
      </c>
      <c r="F675" s="3" t="n">
        <v>6741</v>
      </c>
      <c r="G675" s="3" t="n">
        <v>6</v>
      </c>
      <c r="H675" s="3" t="n">
        <v>1185585.8</v>
      </c>
      <c r="I675" s="3" t="n">
        <v>1218</v>
      </c>
      <c r="J675" s="3" t="n">
        <v>305751</v>
      </c>
      <c r="K675" s="3" t="n">
        <v>57627</v>
      </c>
      <c r="L675" s="3" t="n">
        <v>0</v>
      </c>
      <c r="M675" s="4" t="n">
        <f aca="false">IFERROR(D675/C675,0)</f>
        <v>0.044882790165809</v>
      </c>
      <c r="N675" s="4" t="n">
        <f aca="false">IFERROR(E675/C675,0)</f>
        <v>0.371926815323042</v>
      </c>
      <c r="O675" s="5" t="n">
        <f aca="false">IFERROR(F675/MAX(C675-D675,1),0)</f>
        <v>2.01765938341814</v>
      </c>
      <c r="P675" s="5" t="n">
        <f aca="false">IFERROR(F675/C675,0)</f>
        <v>1.92710120068611</v>
      </c>
      <c r="Q675" s="5" t="n">
        <f aca="false">IFERROR(H675/C675,0)</f>
        <v>338.9324757004</v>
      </c>
      <c r="R675" s="4" t="n">
        <f aca="false">IFERROR(I675/F675,0)</f>
        <v>0.180685358255452</v>
      </c>
      <c r="S675" s="4" t="n">
        <f aca="false">IFERROR(K675/J675,0)</f>
        <v>0.188476897867873</v>
      </c>
      <c r="T675" s="6" t="s">
        <v>23</v>
      </c>
    </row>
    <row r="676" customFormat="false" ht="15" hidden="false" customHeight="false" outlineLevel="0" collapsed="false">
      <c r="A676" s="3" t="s">
        <v>709</v>
      </c>
      <c r="B676" s="3" t="s">
        <v>29</v>
      </c>
      <c r="C676" s="3" t="n">
        <v>1480</v>
      </c>
      <c r="D676" s="3" t="n">
        <v>213</v>
      </c>
      <c r="E676" s="3" t="n">
        <v>701</v>
      </c>
      <c r="F676" s="3" t="n">
        <v>5117</v>
      </c>
      <c r="G676" s="3" t="n">
        <v>15</v>
      </c>
      <c r="H676" s="3" t="n">
        <v>700567.2</v>
      </c>
      <c r="I676" s="3" t="n">
        <v>1139</v>
      </c>
      <c r="J676" s="3" t="n">
        <v>242240</v>
      </c>
      <c r="K676" s="3" t="n">
        <v>66616</v>
      </c>
      <c r="L676" s="3" t="n">
        <v>0</v>
      </c>
      <c r="M676" s="4" t="n">
        <f aca="false">IFERROR(D676/C676,0)</f>
        <v>0.143918918918919</v>
      </c>
      <c r="N676" s="4" t="n">
        <f aca="false">IFERROR(E676/C676,0)</f>
        <v>0.473648648648649</v>
      </c>
      <c r="O676" s="5" t="n">
        <f aca="false">IFERROR(F676/MAX(C676-D676,1),0)</f>
        <v>4.03867403314917</v>
      </c>
      <c r="P676" s="5" t="n">
        <f aca="false">IFERROR(F676/C676,0)</f>
        <v>3.45743243243243</v>
      </c>
      <c r="Q676" s="5" t="n">
        <f aca="false">IFERROR(H676/C676,0)</f>
        <v>473.356216216216</v>
      </c>
      <c r="R676" s="4" t="n">
        <f aca="false">IFERROR(I676/F676,0)</f>
        <v>0.222591362126246</v>
      </c>
      <c r="S676" s="4" t="n">
        <f aca="false">IFERROR(K676/J676,0)</f>
        <v>0.275</v>
      </c>
      <c r="T676" s="6" t="s">
        <v>23</v>
      </c>
    </row>
    <row r="677" customFormat="false" ht="15" hidden="false" customHeight="false" outlineLevel="0" collapsed="false">
      <c r="A677" s="3" t="s">
        <v>710</v>
      </c>
      <c r="B677" s="3" t="s">
        <v>26</v>
      </c>
      <c r="C677" s="3" t="n">
        <v>747</v>
      </c>
      <c r="D677" s="3" t="n">
        <v>58</v>
      </c>
      <c r="E677" s="3" t="n">
        <v>210</v>
      </c>
      <c r="F677" s="3" t="n">
        <v>1059</v>
      </c>
      <c r="G677" s="3" t="n">
        <v>8</v>
      </c>
      <c r="H677" s="3" t="n">
        <v>305704.6</v>
      </c>
      <c r="I677" s="3" t="n">
        <v>167</v>
      </c>
      <c r="J677" s="3" t="n">
        <v>108188</v>
      </c>
      <c r="K677" s="3" t="n">
        <v>13153</v>
      </c>
      <c r="L677" s="3" t="n">
        <v>93</v>
      </c>
      <c r="M677" s="4" t="n">
        <f aca="false">IFERROR(D677/C677,0)</f>
        <v>0.0776439089692102</v>
      </c>
      <c r="N677" s="4" t="n">
        <f aca="false">IFERROR(E677/C677,0)</f>
        <v>0.281124497991968</v>
      </c>
      <c r="O677" s="5" t="n">
        <f aca="false">IFERROR(F677/MAX(C677-D677,1),0)</f>
        <v>1.53701015965167</v>
      </c>
      <c r="P677" s="5" t="n">
        <f aca="false">IFERROR(F677/C677,0)</f>
        <v>1.41767068273092</v>
      </c>
      <c r="Q677" s="5" t="n">
        <f aca="false">IFERROR(H677/C677,0)</f>
        <v>409.243105756359</v>
      </c>
      <c r="R677" s="4" t="n">
        <f aca="false">IFERROR(I677/F677,0)</f>
        <v>0.157695939565628</v>
      </c>
      <c r="S677" s="4" t="n">
        <f aca="false">IFERROR(K677/J677,0)</f>
        <v>0.121575405775132</v>
      </c>
      <c r="T677" s="6" t="s">
        <v>23</v>
      </c>
    </row>
    <row r="678" customFormat="false" ht="15" hidden="false" customHeight="false" outlineLevel="0" collapsed="false">
      <c r="A678" s="3" t="s">
        <v>711</v>
      </c>
      <c r="B678" s="3" t="s">
        <v>29</v>
      </c>
      <c r="C678" s="3" t="n">
        <v>1555</v>
      </c>
      <c r="D678" s="3" t="n">
        <v>115</v>
      </c>
      <c r="E678" s="3" t="n">
        <v>438</v>
      </c>
      <c r="F678" s="3" t="n">
        <v>4090</v>
      </c>
      <c r="G678" s="3" t="n">
        <v>10</v>
      </c>
      <c r="H678" s="3" t="n">
        <v>468192.5</v>
      </c>
      <c r="I678" s="3" t="n">
        <v>590</v>
      </c>
      <c r="J678" s="3" t="n">
        <v>118572</v>
      </c>
      <c r="K678" s="3" t="n">
        <v>25339</v>
      </c>
      <c r="L678" s="3" t="n">
        <v>0</v>
      </c>
      <c r="M678" s="4" t="n">
        <f aca="false">IFERROR(D678/C678,0)</f>
        <v>0.0739549839228296</v>
      </c>
      <c r="N678" s="4" t="n">
        <f aca="false">IFERROR(E678/C678,0)</f>
        <v>0.281672025723473</v>
      </c>
      <c r="O678" s="5" t="n">
        <f aca="false">IFERROR(F678/MAX(C678-D678,1),0)</f>
        <v>2.84027777777778</v>
      </c>
      <c r="P678" s="5" t="n">
        <f aca="false">IFERROR(F678/C678,0)</f>
        <v>2.63022508038585</v>
      </c>
      <c r="Q678" s="5" t="n">
        <f aca="false">IFERROR(H678/C678,0)</f>
        <v>301.088424437299</v>
      </c>
      <c r="R678" s="4" t="n">
        <f aca="false">IFERROR(I678/F678,0)</f>
        <v>0.144254278728606</v>
      </c>
      <c r="S678" s="4" t="n">
        <f aca="false">IFERROR(K678/J678,0)</f>
        <v>0.213701379752387</v>
      </c>
      <c r="T678" s="6" t="s">
        <v>23</v>
      </c>
    </row>
    <row r="679" customFormat="false" ht="15" hidden="false" customHeight="false" outlineLevel="0" collapsed="false">
      <c r="A679" s="3" t="s">
        <v>712</v>
      </c>
      <c r="B679" s="3" t="s">
        <v>29</v>
      </c>
      <c r="C679" s="3" t="n">
        <v>1175</v>
      </c>
      <c r="D679" s="3" t="n">
        <v>132</v>
      </c>
      <c r="E679" s="3" t="n">
        <v>518</v>
      </c>
      <c r="F679" s="3" t="n">
        <v>3073</v>
      </c>
      <c r="G679" s="3" t="n">
        <v>12</v>
      </c>
      <c r="H679" s="3" t="n">
        <v>574832.8</v>
      </c>
      <c r="I679" s="3" t="n">
        <v>636</v>
      </c>
      <c r="J679" s="3" t="n">
        <v>172247</v>
      </c>
      <c r="K679" s="3" t="n">
        <v>31379</v>
      </c>
      <c r="L679" s="3" t="n">
        <v>0</v>
      </c>
      <c r="M679" s="4" t="n">
        <f aca="false">IFERROR(D679/C679,0)</f>
        <v>0.112340425531915</v>
      </c>
      <c r="N679" s="4" t="n">
        <f aca="false">IFERROR(E679/C679,0)</f>
        <v>0.440851063829787</v>
      </c>
      <c r="O679" s="5" t="n">
        <f aca="false">IFERROR(F679/MAX(C679-D679,1),0)</f>
        <v>2.94630872483222</v>
      </c>
      <c r="P679" s="5" t="n">
        <f aca="false">IFERROR(F679/C679,0)</f>
        <v>2.61531914893617</v>
      </c>
      <c r="Q679" s="5" t="n">
        <f aca="false">IFERROR(H679/C679,0)</f>
        <v>489.219404255319</v>
      </c>
      <c r="R679" s="4" t="n">
        <f aca="false">IFERROR(I679/F679,0)</f>
        <v>0.206963878945656</v>
      </c>
      <c r="S679" s="4" t="n">
        <f aca="false">IFERROR(K679/J679,0)</f>
        <v>0.18217443554895</v>
      </c>
      <c r="T679" s="6" t="s">
        <v>23</v>
      </c>
    </row>
    <row r="680" customFormat="false" ht="15" hidden="false" customHeight="false" outlineLevel="0" collapsed="false">
      <c r="A680" s="3" t="s">
        <v>713</v>
      </c>
      <c r="B680" s="3" t="s">
        <v>22</v>
      </c>
      <c r="C680" s="3" t="n">
        <v>658</v>
      </c>
      <c r="D680" s="3" t="n">
        <v>65</v>
      </c>
      <c r="E680" s="3" t="n">
        <v>195</v>
      </c>
      <c r="F680" s="3" t="n">
        <v>1673</v>
      </c>
      <c r="G680" s="3" t="n">
        <v>11</v>
      </c>
      <c r="H680" s="3" t="n">
        <v>497092.8</v>
      </c>
      <c r="I680" s="3" t="n">
        <v>421</v>
      </c>
      <c r="J680" s="3" t="n">
        <v>84628</v>
      </c>
      <c r="K680" s="3" t="n">
        <v>13787</v>
      </c>
      <c r="L680" s="3" t="n">
        <v>253</v>
      </c>
      <c r="M680" s="4" t="n">
        <f aca="false">IFERROR(D680/C680,0)</f>
        <v>0.0987841945288754</v>
      </c>
      <c r="N680" s="4" t="n">
        <f aca="false">IFERROR(E680/C680,0)</f>
        <v>0.296352583586626</v>
      </c>
      <c r="O680" s="5" t="n">
        <f aca="false">IFERROR(F680/MAX(C680-D680,1),0)</f>
        <v>2.8212478920742</v>
      </c>
      <c r="P680" s="5" t="n">
        <f aca="false">IFERROR(F680/C680,0)</f>
        <v>2.54255319148936</v>
      </c>
      <c r="Q680" s="5" t="n">
        <f aca="false">IFERROR(H680/C680,0)</f>
        <v>755.460182370821</v>
      </c>
      <c r="R680" s="4" t="n">
        <f aca="false">IFERROR(I680/F680,0)</f>
        <v>0.251643753735804</v>
      </c>
      <c r="S680" s="4" t="n">
        <f aca="false">IFERROR(K680/J680,0)</f>
        <v>0.162912983882403</v>
      </c>
      <c r="T680" s="6" t="s">
        <v>23</v>
      </c>
    </row>
    <row r="681" customFormat="false" ht="15" hidden="false" customHeight="false" outlineLevel="0" collapsed="false">
      <c r="A681" s="3" t="s">
        <v>714</v>
      </c>
      <c r="B681" s="3" t="s">
        <v>29</v>
      </c>
      <c r="C681" s="3" t="n">
        <v>3410</v>
      </c>
      <c r="D681" s="3" t="n">
        <v>274</v>
      </c>
      <c r="E681" s="3" t="n">
        <v>1275</v>
      </c>
      <c r="F681" s="3" t="n">
        <v>7404</v>
      </c>
      <c r="G681" s="3" t="n">
        <v>10</v>
      </c>
      <c r="H681" s="3" t="n">
        <v>1371538</v>
      </c>
      <c r="I681" s="3" t="n">
        <v>1322</v>
      </c>
      <c r="J681" s="3" t="n">
        <v>440732</v>
      </c>
      <c r="K681" s="3" t="n">
        <v>59577</v>
      </c>
      <c r="L681" s="3" t="n">
        <v>0</v>
      </c>
      <c r="M681" s="4" t="n">
        <f aca="false">IFERROR(D681/C681,0)</f>
        <v>0.0803519061583578</v>
      </c>
      <c r="N681" s="4" t="n">
        <f aca="false">IFERROR(E681/C681,0)</f>
        <v>0.373900293255132</v>
      </c>
      <c r="O681" s="5" t="n">
        <f aca="false">IFERROR(F681/MAX(C681-D681,1),0)</f>
        <v>2.3609693877551</v>
      </c>
      <c r="P681" s="5" t="n">
        <f aca="false">IFERROR(F681/C681,0)</f>
        <v>2.17126099706745</v>
      </c>
      <c r="Q681" s="5" t="n">
        <f aca="false">IFERROR(H681/C681,0)</f>
        <v>402.210557184751</v>
      </c>
      <c r="R681" s="4" t="n">
        <f aca="false">IFERROR(I681/F681,0)</f>
        <v>0.178552133981632</v>
      </c>
      <c r="S681" s="4" t="n">
        <f aca="false">IFERROR(K681/J681,0)</f>
        <v>0.135177386711199</v>
      </c>
      <c r="T681" s="6" t="s">
        <v>23</v>
      </c>
    </row>
    <row r="682" customFormat="false" ht="15" hidden="false" customHeight="false" outlineLevel="0" collapsed="false">
      <c r="A682" s="3" t="s">
        <v>715</v>
      </c>
      <c r="B682" s="3" t="s">
        <v>22</v>
      </c>
      <c r="C682" s="3" t="n">
        <v>3556</v>
      </c>
      <c r="D682" s="3" t="n">
        <v>263</v>
      </c>
      <c r="E682" s="3" t="n">
        <v>1475</v>
      </c>
      <c r="F682" s="3" t="n">
        <v>6687</v>
      </c>
      <c r="G682" s="3" t="n">
        <v>6</v>
      </c>
      <c r="H682" s="3" t="n">
        <v>1667200.3</v>
      </c>
      <c r="I682" s="3" t="n">
        <v>1281</v>
      </c>
      <c r="J682" s="3" t="n">
        <v>482608</v>
      </c>
      <c r="K682" s="3" t="n">
        <v>75624</v>
      </c>
      <c r="L682" s="3" t="n">
        <v>848</v>
      </c>
      <c r="M682" s="4" t="n">
        <f aca="false">IFERROR(D682/C682,0)</f>
        <v>0.0739595050618673</v>
      </c>
      <c r="N682" s="4" t="n">
        <f aca="false">IFERROR(E682/C682,0)</f>
        <v>0.414791901012373</v>
      </c>
      <c r="O682" s="5" t="n">
        <f aca="false">IFERROR(F682/MAX(C682-D682,1),0)</f>
        <v>2.03067112055876</v>
      </c>
      <c r="P682" s="5" t="n">
        <f aca="false">IFERROR(F682/C682,0)</f>
        <v>1.88048368953881</v>
      </c>
      <c r="Q682" s="5" t="n">
        <f aca="false">IFERROR(H682/C682,0)</f>
        <v>468.841479190101</v>
      </c>
      <c r="R682" s="4" t="n">
        <f aca="false">IFERROR(I682/F682,0)</f>
        <v>0.191565724540153</v>
      </c>
      <c r="S682" s="4" t="n">
        <f aca="false">IFERROR(K682/J682,0)</f>
        <v>0.15669860425024</v>
      </c>
      <c r="T682" s="6" t="s">
        <v>23</v>
      </c>
    </row>
    <row r="683" customFormat="false" ht="15" hidden="false" customHeight="false" outlineLevel="0" collapsed="false">
      <c r="A683" s="3" t="s">
        <v>716</v>
      </c>
      <c r="B683" s="3" t="s">
        <v>29</v>
      </c>
      <c r="C683" s="3" t="n">
        <v>3259</v>
      </c>
      <c r="D683" s="3" t="n">
        <v>207</v>
      </c>
      <c r="E683" s="3" t="n">
        <v>1038</v>
      </c>
      <c r="F683" s="3" t="n">
        <v>6987</v>
      </c>
      <c r="G683" s="3" t="n">
        <v>11</v>
      </c>
      <c r="H683" s="3" t="n">
        <v>1184640.5</v>
      </c>
      <c r="I683" s="3" t="n">
        <v>1327</v>
      </c>
      <c r="J683" s="3" t="n">
        <v>378076</v>
      </c>
      <c r="K683" s="3" t="n">
        <v>65089</v>
      </c>
      <c r="L683" s="3" t="n">
        <v>0</v>
      </c>
      <c r="M683" s="4" t="n">
        <f aca="false">IFERROR(D683/C683,0)</f>
        <v>0.0635164160785517</v>
      </c>
      <c r="N683" s="4" t="n">
        <f aca="false">IFERROR(E683/C683,0)</f>
        <v>0.318502608162013</v>
      </c>
      <c r="O683" s="5" t="n">
        <f aca="false">IFERROR(F683/MAX(C683-D683,1),0)</f>
        <v>2.28931847968545</v>
      </c>
      <c r="P683" s="5" t="n">
        <f aca="false">IFERROR(F683/C683,0)</f>
        <v>2.14390917459343</v>
      </c>
      <c r="Q683" s="5" t="n">
        <f aca="false">IFERROR(H683/C683,0)</f>
        <v>363.498158944461</v>
      </c>
      <c r="R683" s="4" t="n">
        <f aca="false">IFERROR(I683/F683,0)</f>
        <v>0.189924144840418</v>
      </c>
      <c r="S683" s="4" t="n">
        <f aca="false">IFERROR(K683/J683,0)</f>
        <v>0.172158507813244</v>
      </c>
      <c r="T683" s="6" t="s">
        <v>23</v>
      </c>
    </row>
    <row r="684" customFormat="false" ht="15" hidden="false" customHeight="false" outlineLevel="0" collapsed="false">
      <c r="A684" s="3" t="s">
        <v>717</v>
      </c>
      <c r="B684" s="3" t="s">
        <v>26</v>
      </c>
      <c r="C684" s="3" t="n">
        <v>3445</v>
      </c>
      <c r="D684" s="3" t="n">
        <v>550</v>
      </c>
      <c r="E684" s="3" t="n">
        <v>1120</v>
      </c>
      <c r="F684" s="3" t="n">
        <v>14509</v>
      </c>
      <c r="G684" s="3" t="n">
        <v>18</v>
      </c>
      <c r="H684" s="3" t="n">
        <v>2247338.2</v>
      </c>
      <c r="I684" s="3" t="n">
        <v>3112</v>
      </c>
      <c r="J684" s="3" t="n">
        <v>623901</v>
      </c>
      <c r="K684" s="3" t="n">
        <v>98251</v>
      </c>
      <c r="L684" s="3" t="n">
        <v>554</v>
      </c>
      <c r="M684" s="4" t="n">
        <f aca="false">IFERROR(D684/C684,0)</f>
        <v>0.159651669085631</v>
      </c>
      <c r="N684" s="4" t="n">
        <f aca="false">IFERROR(E684/C684,0)</f>
        <v>0.32510885341074</v>
      </c>
      <c r="O684" s="5" t="n">
        <f aca="false">IFERROR(F684/MAX(C684-D684,1),0)</f>
        <v>5.01174438687392</v>
      </c>
      <c r="P684" s="5" t="n">
        <f aca="false">IFERROR(F684/C684,0)</f>
        <v>4.21161103047896</v>
      </c>
      <c r="Q684" s="5" t="n">
        <f aca="false">IFERROR(H684/C684,0)</f>
        <v>652.347808417997</v>
      </c>
      <c r="R684" s="4" t="n">
        <f aca="false">IFERROR(I684/F684,0)</f>
        <v>0.214487559445861</v>
      </c>
      <c r="S684" s="4" t="n">
        <f aca="false">IFERROR(K684/J684,0)</f>
        <v>0.157478510212357</v>
      </c>
      <c r="T684" s="6" t="s">
        <v>23</v>
      </c>
    </row>
    <row r="685" customFormat="false" ht="15" hidden="false" customHeight="false" outlineLevel="0" collapsed="false">
      <c r="A685" s="9" t="s">
        <v>718</v>
      </c>
      <c r="B685" s="9" t="s">
        <v>26</v>
      </c>
      <c r="C685" s="9" t="n">
        <v>3113</v>
      </c>
      <c r="D685" s="9" t="n">
        <v>719</v>
      </c>
      <c r="E685" s="9" t="n">
        <v>1699</v>
      </c>
      <c r="F685" s="9" t="n">
        <v>14841</v>
      </c>
      <c r="G685" s="9" t="n">
        <v>10</v>
      </c>
      <c r="H685" s="9" t="n">
        <v>1396265.3</v>
      </c>
      <c r="I685" s="9" t="n">
        <v>10056</v>
      </c>
      <c r="J685" s="9" t="n">
        <v>372401</v>
      </c>
      <c r="K685" s="9" t="n">
        <v>130340</v>
      </c>
      <c r="L685" s="9" t="n">
        <v>303</v>
      </c>
      <c r="M685" s="10" t="n">
        <f aca="false">IFERROR(D685/C685,0)</f>
        <v>0.230966912945712</v>
      </c>
      <c r="N685" s="10" t="n">
        <f aca="false">IFERROR(E685/C685,0)</f>
        <v>0.545775778991327</v>
      </c>
      <c r="O685" s="11" t="n">
        <f aca="false">IFERROR(F685/MAX(C685-D685,1),0)</f>
        <v>6.19924812030075</v>
      </c>
      <c r="P685" s="11" t="n">
        <f aca="false">IFERROR(F685/C685,0)</f>
        <v>4.76742691937038</v>
      </c>
      <c r="Q685" s="11" t="n">
        <f aca="false">IFERROR(H685/C685,0)</f>
        <v>448.527240603919</v>
      </c>
      <c r="R685" s="10" t="n">
        <f aca="false">IFERROR(I685/F685,0)</f>
        <v>0.677582373155448</v>
      </c>
      <c r="S685" s="10" t="n">
        <f aca="false">IFERROR(K685/J685,0)</f>
        <v>0.3499990601529</v>
      </c>
      <c r="T685" s="12" t="s">
        <v>30</v>
      </c>
    </row>
    <row r="686" customFormat="false" ht="15" hidden="false" customHeight="false" outlineLevel="0" collapsed="false">
      <c r="A686" s="9" t="s">
        <v>719</v>
      </c>
      <c r="B686" s="9" t="s">
        <v>22</v>
      </c>
      <c r="C686" s="9" t="n">
        <v>265</v>
      </c>
      <c r="D686" s="9" t="n">
        <v>99</v>
      </c>
      <c r="E686" s="9" t="n">
        <v>190</v>
      </c>
      <c r="F686" s="9" t="n">
        <v>1955</v>
      </c>
      <c r="G686" s="9" t="n">
        <v>18</v>
      </c>
      <c r="H686" s="9" t="n">
        <v>299331.4</v>
      </c>
      <c r="I686" s="9" t="n">
        <v>1659</v>
      </c>
      <c r="J686" s="9" t="n">
        <v>23987</v>
      </c>
      <c r="K686" s="9" t="n">
        <v>17322</v>
      </c>
      <c r="L686" s="9" t="n">
        <v>135</v>
      </c>
      <c r="M686" s="10" t="n">
        <f aca="false">IFERROR(D686/C686,0)</f>
        <v>0.373584905660377</v>
      </c>
      <c r="N686" s="10" t="n">
        <f aca="false">IFERROR(E686/C686,0)</f>
        <v>0.716981132075472</v>
      </c>
      <c r="O686" s="11" t="n">
        <f aca="false">IFERROR(F686/MAX(C686-D686,1),0)</f>
        <v>11.7771084337349</v>
      </c>
      <c r="P686" s="11" t="n">
        <f aca="false">IFERROR(F686/C686,0)</f>
        <v>7.37735849056604</v>
      </c>
      <c r="Q686" s="11" t="n">
        <f aca="false">IFERROR(H686/C686,0)</f>
        <v>1129.55245283019</v>
      </c>
      <c r="R686" s="10" t="n">
        <f aca="false">IFERROR(I686/F686,0)</f>
        <v>0.848593350383632</v>
      </c>
      <c r="S686" s="10" t="n">
        <f aca="false">IFERROR(K686/J686,0)</f>
        <v>0.722141159794889</v>
      </c>
      <c r="T686" s="12" t="s">
        <v>30</v>
      </c>
    </row>
    <row r="687" customFormat="false" ht="15" hidden="false" customHeight="false" outlineLevel="0" collapsed="false">
      <c r="A687" s="3" t="s">
        <v>720</v>
      </c>
      <c r="B687" s="3" t="s">
        <v>22</v>
      </c>
      <c r="C687" s="3" t="n">
        <v>1594</v>
      </c>
      <c r="D687" s="3" t="n">
        <v>57</v>
      </c>
      <c r="E687" s="3" t="n">
        <v>609</v>
      </c>
      <c r="F687" s="3" t="n">
        <v>2774</v>
      </c>
      <c r="G687" s="3" t="n">
        <v>5</v>
      </c>
      <c r="H687" s="3" t="n">
        <v>611004.5</v>
      </c>
      <c r="I687" s="3" t="n">
        <v>442</v>
      </c>
      <c r="J687" s="3" t="n">
        <v>196515</v>
      </c>
      <c r="K687" s="3" t="n">
        <v>29017</v>
      </c>
      <c r="L687" s="3" t="n">
        <v>540</v>
      </c>
      <c r="M687" s="4" t="n">
        <f aca="false">IFERROR(D687/C687,0)</f>
        <v>0.0357590966122961</v>
      </c>
      <c r="N687" s="4" t="n">
        <f aca="false">IFERROR(E687/C687,0)</f>
        <v>0.382057716436637</v>
      </c>
      <c r="O687" s="5" t="n">
        <f aca="false">IFERROR(F687/MAX(C687-D687,1),0)</f>
        <v>1.80481457384515</v>
      </c>
      <c r="P687" s="5" t="n">
        <f aca="false">IFERROR(F687/C687,0)</f>
        <v>1.74027603513174</v>
      </c>
      <c r="Q687" s="5" t="n">
        <f aca="false">IFERROR(H687/C687,0)</f>
        <v>383.315244667503</v>
      </c>
      <c r="R687" s="4" t="n">
        <f aca="false">IFERROR(I687/F687,0)</f>
        <v>0.159336697909156</v>
      </c>
      <c r="S687" s="4" t="n">
        <f aca="false">IFERROR(K687/J687,0)</f>
        <v>0.147657939597486</v>
      </c>
      <c r="T687" s="6" t="s">
        <v>23</v>
      </c>
    </row>
    <row r="688" customFormat="false" ht="15" hidden="false" customHeight="false" outlineLevel="0" collapsed="false">
      <c r="A688" s="3" t="s">
        <v>721</v>
      </c>
      <c r="B688" s="3" t="s">
        <v>29</v>
      </c>
      <c r="C688" s="3" t="n">
        <v>1450</v>
      </c>
      <c r="D688" s="3" t="n">
        <v>30</v>
      </c>
      <c r="E688" s="3" t="n">
        <v>393</v>
      </c>
      <c r="F688" s="3" t="n">
        <v>2201</v>
      </c>
      <c r="G688" s="3" t="n">
        <v>6</v>
      </c>
      <c r="H688" s="3" t="n">
        <v>588049.8</v>
      </c>
      <c r="I688" s="3" t="n">
        <v>465</v>
      </c>
      <c r="J688" s="3" t="n">
        <v>232340</v>
      </c>
      <c r="K688" s="3" t="n">
        <v>55817</v>
      </c>
      <c r="L688" s="3" t="n">
        <v>0</v>
      </c>
      <c r="M688" s="4" t="n">
        <f aca="false">IFERROR(D688/C688,0)</f>
        <v>0.0206896551724138</v>
      </c>
      <c r="N688" s="4" t="n">
        <f aca="false">IFERROR(E688/C688,0)</f>
        <v>0.271034482758621</v>
      </c>
      <c r="O688" s="5" t="n">
        <f aca="false">IFERROR(F688/MAX(C688-D688,1),0)</f>
        <v>1.55</v>
      </c>
      <c r="P688" s="5" t="n">
        <f aca="false">IFERROR(F688/C688,0)</f>
        <v>1.51793103448276</v>
      </c>
      <c r="Q688" s="5" t="n">
        <f aca="false">IFERROR(H688/C688,0)</f>
        <v>405.551586206897</v>
      </c>
      <c r="R688" s="4" t="n">
        <f aca="false">IFERROR(I688/F688,0)</f>
        <v>0.211267605633803</v>
      </c>
      <c r="S688" s="4" t="n">
        <f aca="false">IFERROR(K688/J688,0)</f>
        <v>0.240238443660153</v>
      </c>
      <c r="T688" s="6" t="s">
        <v>23</v>
      </c>
    </row>
    <row r="689" customFormat="false" ht="15" hidden="false" customHeight="false" outlineLevel="0" collapsed="false">
      <c r="A689" s="3" t="s">
        <v>722</v>
      </c>
      <c r="B689" s="3" t="s">
        <v>22</v>
      </c>
      <c r="C689" s="3" t="n">
        <v>3031</v>
      </c>
      <c r="D689" s="3" t="n">
        <v>294</v>
      </c>
      <c r="E689" s="3" t="n">
        <v>1309</v>
      </c>
      <c r="F689" s="3" t="n">
        <v>6947</v>
      </c>
      <c r="G689" s="3" t="n">
        <v>6</v>
      </c>
      <c r="H689" s="3" t="n">
        <v>1727623.2</v>
      </c>
      <c r="I689" s="3" t="n">
        <v>1370</v>
      </c>
      <c r="J689" s="3" t="n">
        <v>457286</v>
      </c>
      <c r="K689" s="3" t="n">
        <v>85058</v>
      </c>
      <c r="L689" s="3" t="n">
        <v>694</v>
      </c>
      <c r="M689" s="4" t="n">
        <f aca="false">IFERROR(D689/C689,0)</f>
        <v>0.0969976905311778</v>
      </c>
      <c r="N689" s="4" t="n">
        <f aca="false">IFERROR(E689/C689,0)</f>
        <v>0.431870669745958</v>
      </c>
      <c r="O689" s="5" t="n">
        <f aca="false">IFERROR(F689/MAX(C689-D689,1),0)</f>
        <v>2.53818048958714</v>
      </c>
      <c r="P689" s="5" t="n">
        <f aca="false">IFERROR(F689/C689,0)</f>
        <v>2.29198284394589</v>
      </c>
      <c r="Q689" s="5" t="n">
        <f aca="false">IFERROR(H689/C689,0)</f>
        <v>569.984559551303</v>
      </c>
      <c r="R689" s="4" t="n">
        <f aca="false">IFERROR(I689/F689,0)</f>
        <v>0.197207427666619</v>
      </c>
      <c r="S689" s="4" t="n">
        <f aca="false">IFERROR(K689/J689,0)</f>
        <v>0.186006131829971</v>
      </c>
      <c r="T689" s="6" t="s">
        <v>23</v>
      </c>
    </row>
    <row r="690" customFormat="false" ht="15" hidden="false" customHeight="false" outlineLevel="0" collapsed="false">
      <c r="A690" s="3" t="s">
        <v>723</v>
      </c>
      <c r="B690" s="3" t="s">
        <v>29</v>
      </c>
      <c r="C690" s="3" t="n">
        <v>3117</v>
      </c>
      <c r="D690" s="3" t="n">
        <v>276</v>
      </c>
      <c r="E690" s="3" t="n">
        <v>880</v>
      </c>
      <c r="F690" s="3" t="n">
        <v>9550</v>
      </c>
      <c r="G690" s="3" t="n">
        <v>9</v>
      </c>
      <c r="H690" s="3" t="n">
        <v>1604990.5</v>
      </c>
      <c r="I690" s="3" t="n">
        <v>2340</v>
      </c>
      <c r="J690" s="3" t="n">
        <v>399071</v>
      </c>
      <c r="K690" s="3" t="n">
        <v>84442</v>
      </c>
      <c r="L690" s="3" t="n">
        <v>0</v>
      </c>
      <c r="M690" s="4" t="n">
        <f aca="false">IFERROR(D690/C690,0)</f>
        <v>0.0885466794995188</v>
      </c>
      <c r="N690" s="4" t="n">
        <f aca="false">IFERROR(E690/C690,0)</f>
        <v>0.28232274623035</v>
      </c>
      <c r="O690" s="5" t="n">
        <f aca="false">IFERROR(F690/MAX(C690-D690,1),0)</f>
        <v>3.36149243224217</v>
      </c>
      <c r="P690" s="5" t="n">
        <f aca="false">IFERROR(F690/C690,0)</f>
        <v>3.06384343920436</v>
      </c>
      <c r="Q690" s="5" t="n">
        <f aca="false">IFERROR(H690/C690,0)</f>
        <v>514.91514276548</v>
      </c>
      <c r="R690" s="4" t="n">
        <f aca="false">IFERROR(I690/F690,0)</f>
        <v>0.245026178010471</v>
      </c>
      <c r="S690" s="4" t="n">
        <f aca="false">IFERROR(K690/J690,0)</f>
        <v>0.211596432714981</v>
      </c>
      <c r="T690" s="6" t="s">
        <v>23</v>
      </c>
    </row>
    <row r="691" customFormat="false" ht="15" hidden="false" customHeight="false" outlineLevel="0" collapsed="false">
      <c r="A691" s="3" t="s">
        <v>724</v>
      </c>
      <c r="B691" s="3" t="s">
        <v>22</v>
      </c>
      <c r="C691" s="3" t="n">
        <v>1633</v>
      </c>
      <c r="D691" s="3" t="n">
        <v>33</v>
      </c>
      <c r="E691" s="3" t="n">
        <v>409</v>
      </c>
      <c r="F691" s="3" t="n">
        <v>3238</v>
      </c>
      <c r="G691" s="3" t="n">
        <v>7</v>
      </c>
      <c r="H691" s="3" t="n">
        <v>620371.4</v>
      </c>
      <c r="I691" s="3" t="n">
        <v>483</v>
      </c>
      <c r="J691" s="3" t="n">
        <v>143661</v>
      </c>
      <c r="K691" s="3" t="n">
        <v>26147</v>
      </c>
      <c r="L691" s="3" t="n">
        <v>301</v>
      </c>
      <c r="M691" s="4" t="n">
        <f aca="false">IFERROR(D691/C691,0)</f>
        <v>0.0202082057562768</v>
      </c>
      <c r="N691" s="4" t="n">
        <f aca="false">IFERROR(E691/C691,0)</f>
        <v>0.250459277403552</v>
      </c>
      <c r="O691" s="5" t="n">
        <f aca="false">IFERROR(F691/MAX(C691-D691,1),0)</f>
        <v>2.02375</v>
      </c>
      <c r="P691" s="5" t="n">
        <f aca="false">IFERROR(F691/C691,0)</f>
        <v>1.98285364360074</v>
      </c>
      <c r="Q691" s="5" t="n">
        <f aca="false">IFERROR(H691/C691,0)</f>
        <v>379.896754439682</v>
      </c>
      <c r="R691" s="4" t="n">
        <f aca="false">IFERROR(I691/F691,0)</f>
        <v>0.149166151945645</v>
      </c>
      <c r="S691" s="4" t="n">
        <f aca="false">IFERROR(K691/J691,0)</f>
        <v>0.182004858660318</v>
      </c>
      <c r="T691" s="6" t="s">
        <v>23</v>
      </c>
    </row>
    <row r="692" customFormat="false" ht="15" hidden="false" customHeight="false" outlineLevel="0" collapsed="false">
      <c r="A692" s="3" t="s">
        <v>725</v>
      </c>
      <c r="B692" s="3" t="s">
        <v>22</v>
      </c>
      <c r="C692" s="3" t="n">
        <v>1620</v>
      </c>
      <c r="D692" s="3" t="n">
        <v>137</v>
      </c>
      <c r="E692" s="3" t="n">
        <v>483</v>
      </c>
      <c r="F692" s="3" t="n">
        <v>3241</v>
      </c>
      <c r="G692" s="3" t="n">
        <v>9</v>
      </c>
      <c r="H692" s="3" t="n">
        <v>867089.3</v>
      </c>
      <c r="I692" s="3" t="n">
        <v>620</v>
      </c>
      <c r="J692" s="3" t="n">
        <v>277860</v>
      </c>
      <c r="K692" s="3" t="n">
        <v>52161</v>
      </c>
      <c r="L692" s="3" t="n">
        <v>173</v>
      </c>
      <c r="M692" s="4" t="n">
        <f aca="false">IFERROR(D692/C692,0)</f>
        <v>0.0845679012345679</v>
      </c>
      <c r="N692" s="4" t="n">
        <f aca="false">IFERROR(E692/C692,0)</f>
        <v>0.298148148148148</v>
      </c>
      <c r="O692" s="5" t="n">
        <f aca="false">IFERROR(F692/MAX(C692-D692,1),0)</f>
        <v>2.18543492919757</v>
      </c>
      <c r="P692" s="5" t="n">
        <f aca="false">IFERROR(F692/C692,0)</f>
        <v>2.00061728395062</v>
      </c>
      <c r="Q692" s="5" t="n">
        <f aca="false">IFERROR(H692/C692,0)</f>
        <v>535.240308641975</v>
      </c>
      <c r="R692" s="4" t="n">
        <f aca="false">IFERROR(I692/F692,0)</f>
        <v>0.191298981795742</v>
      </c>
      <c r="S692" s="4" t="n">
        <f aca="false">IFERROR(K692/J692,0)</f>
        <v>0.187724033686029</v>
      </c>
      <c r="T692" s="6" t="s">
        <v>23</v>
      </c>
    </row>
    <row r="693" customFormat="false" ht="15" hidden="false" customHeight="false" outlineLevel="0" collapsed="false">
      <c r="A693" s="9" t="s">
        <v>726</v>
      </c>
      <c r="B693" s="9" t="s">
        <v>29</v>
      </c>
      <c r="C693" s="9" t="n">
        <v>2317</v>
      </c>
      <c r="D693" s="9" t="n">
        <v>749</v>
      </c>
      <c r="E693" s="9" t="n">
        <v>1448</v>
      </c>
      <c r="F693" s="9" t="n">
        <v>19722</v>
      </c>
      <c r="G693" s="9" t="n">
        <v>23</v>
      </c>
      <c r="H693" s="9" t="n">
        <v>2170456.9</v>
      </c>
      <c r="I693" s="9" t="n">
        <v>13480</v>
      </c>
      <c r="J693" s="9" t="n">
        <v>421826</v>
      </c>
      <c r="K693" s="9" t="n">
        <v>254229</v>
      </c>
      <c r="L693" s="9" t="n">
        <v>0</v>
      </c>
      <c r="M693" s="10" t="n">
        <f aca="false">IFERROR(D693/C693,0)</f>
        <v>0.323262839879154</v>
      </c>
      <c r="N693" s="10" t="n">
        <f aca="false">IFERROR(E693/C693,0)</f>
        <v>0.624946050927924</v>
      </c>
      <c r="O693" s="11" t="n">
        <f aca="false">IFERROR(F693/MAX(C693-D693,1),0)</f>
        <v>12.577806122449</v>
      </c>
      <c r="P693" s="11" t="n">
        <f aca="false">IFERROR(F693/C693,0)</f>
        <v>8.51186879585671</v>
      </c>
      <c r="Q693" s="11" t="n">
        <f aca="false">IFERROR(H693/C693,0)</f>
        <v>936.753085886923</v>
      </c>
      <c r="R693" s="10" t="n">
        <f aca="false">IFERROR(I693/F693,0)</f>
        <v>0.683500659162357</v>
      </c>
      <c r="S693" s="10" t="n">
        <f aca="false">IFERROR(K693/J693,0)</f>
        <v>0.602686889855059</v>
      </c>
      <c r="T693" s="12" t="s">
        <v>30</v>
      </c>
    </row>
    <row r="694" customFormat="false" ht="15" hidden="false" customHeight="false" outlineLevel="0" collapsed="false">
      <c r="A694" s="3" t="s">
        <v>727</v>
      </c>
      <c r="B694" s="3" t="s">
        <v>26</v>
      </c>
      <c r="C694" s="3" t="n">
        <v>2797</v>
      </c>
      <c r="D694" s="3" t="n">
        <v>396</v>
      </c>
      <c r="E694" s="3" t="n">
        <v>975</v>
      </c>
      <c r="F694" s="3" t="n">
        <v>7748</v>
      </c>
      <c r="G694" s="3" t="n">
        <v>11</v>
      </c>
      <c r="H694" s="3" t="n">
        <v>1425713.6</v>
      </c>
      <c r="I694" s="3" t="n">
        <v>1606</v>
      </c>
      <c r="J694" s="3" t="n">
        <v>366998</v>
      </c>
      <c r="K694" s="3" t="n">
        <v>74096</v>
      </c>
      <c r="L694" s="3" t="n">
        <v>324</v>
      </c>
      <c r="M694" s="4" t="n">
        <f aca="false">IFERROR(D694/C694,0)</f>
        <v>0.141580264569181</v>
      </c>
      <c r="N694" s="4" t="n">
        <f aca="false">IFERROR(E694/C694,0)</f>
        <v>0.348587772613515</v>
      </c>
      <c r="O694" s="5" t="n">
        <f aca="false">IFERROR(F694/MAX(C694-D694,1),0)</f>
        <v>3.22698875468555</v>
      </c>
      <c r="P694" s="5" t="n">
        <f aca="false">IFERROR(F694/C694,0)</f>
        <v>2.7701108330354</v>
      </c>
      <c r="Q694" s="5" t="n">
        <f aca="false">IFERROR(H694/C694,0)</f>
        <v>509.729567393636</v>
      </c>
      <c r="R694" s="4" t="n">
        <f aca="false">IFERROR(I694/F694,0)</f>
        <v>0.207279297883325</v>
      </c>
      <c r="S694" s="4" t="n">
        <f aca="false">IFERROR(K694/J694,0)</f>
        <v>0.201897558024839</v>
      </c>
      <c r="T694" s="6" t="s">
        <v>23</v>
      </c>
    </row>
    <row r="695" customFormat="false" ht="15" hidden="false" customHeight="false" outlineLevel="0" collapsed="false">
      <c r="A695" s="3" t="s">
        <v>728</v>
      </c>
      <c r="B695" s="3" t="s">
        <v>22</v>
      </c>
      <c r="C695" s="3" t="n">
        <v>2978</v>
      </c>
      <c r="D695" s="3" t="n">
        <v>144</v>
      </c>
      <c r="E695" s="3" t="n">
        <v>761</v>
      </c>
      <c r="F695" s="3" t="n">
        <v>2265</v>
      </c>
      <c r="G695" s="3" t="n">
        <v>2</v>
      </c>
      <c r="H695" s="3" t="n">
        <v>895641.5</v>
      </c>
      <c r="I695" s="3" t="n">
        <v>366</v>
      </c>
      <c r="J695" s="3" t="n">
        <v>236856</v>
      </c>
      <c r="K695" s="3" t="n">
        <v>34716</v>
      </c>
      <c r="L695" s="3" t="n">
        <v>543</v>
      </c>
      <c r="M695" s="4" t="n">
        <f aca="false">IFERROR(D695/C695,0)</f>
        <v>0.048354600402955</v>
      </c>
      <c r="N695" s="4" t="n">
        <f aca="false">IFERROR(E695/C695,0)</f>
        <v>0.255540631296172</v>
      </c>
      <c r="O695" s="5" t="n">
        <f aca="false">IFERROR(F695/MAX(C695-D695,1),0)</f>
        <v>0.799223712067749</v>
      </c>
      <c r="P695" s="5" t="n">
        <f aca="false">IFERROR(F695/C695,0)</f>
        <v>0.760577568838146</v>
      </c>
      <c r="Q695" s="5" t="n">
        <f aca="false">IFERROR(H695/C695,0)</f>
        <v>300.752686366689</v>
      </c>
      <c r="R695" s="4" t="n">
        <f aca="false">IFERROR(I695/F695,0)</f>
        <v>0.16158940397351</v>
      </c>
      <c r="S695" s="4" t="n">
        <f aca="false">IFERROR(K695/J695,0)</f>
        <v>0.14657006788935</v>
      </c>
      <c r="T695" s="6" t="s">
        <v>23</v>
      </c>
    </row>
    <row r="696" customFormat="false" ht="15" hidden="false" customHeight="false" outlineLevel="0" collapsed="false">
      <c r="A696" s="9" t="s">
        <v>729</v>
      </c>
      <c r="B696" s="9" t="s">
        <v>29</v>
      </c>
      <c r="C696" s="9" t="n">
        <v>3953</v>
      </c>
      <c r="D696" s="9" t="n">
        <v>1126</v>
      </c>
      <c r="E696" s="9" t="n">
        <v>2468</v>
      </c>
      <c r="F696" s="9" t="n">
        <v>18808</v>
      </c>
      <c r="G696" s="9" t="n">
        <v>19</v>
      </c>
      <c r="H696" s="9" t="n">
        <v>2901477.7</v>
      </c>
      <c r="I696" s="9" t="n">
        <v>13461</v>
      </c>
      <c r="J696" s="9" t="n">
        <v>549973</v>
      </c>
      <c r="K696" s="9" t="n">
        <v>324946</v>
      </c>
      <c r="L696" s="9" t="n">
        <v>0</v>
      </c>
      <c r="M696" s="10" t="n">
        <f aca="false">IFERROR(D696/C696,0)</f>
        <v>0.284846951682267</v>
      </c>
      <c r="N696" s="10" t="n">
        <f aca="false">IFERROR(E696/C696,0)</f>
        <v>0.624335947381735</v>
      </c>
      <c r="O696" s="11" t="n">
        <f aca="false">IFERROR(F696/MAX(C696-D696,1),0)</f>
        <v>6.65298903431199</v>
      </c>
      <c r="P696" s="11" t="n">
        <f aca="false">IFERROR(F696/C696,0)</f>
        <v>4.75790538831267</v>
      </c>
      <c r="Q696" s="11" t="n">
        <f aca="false">IFERROR(H696/C696,0)</f>
        <v>733.993852770048</v>
      </c>
      <c r="R696" s="10" t="n">
        <f aca="false">IFERROR(I696/F696,0)</f>
        <v>0.715706082518077</v>
      </c>
      <c r="S696" s="10" t="n">
        <f aca="false">IFERROR(K696/J696,0)</f>
        <v>0.590839913959413</v>
      </c>
      <c r="T696" s="12" t="s">
        <v>30</v>
      </c>
    </row>
    <row r="697" customFormat="false" ht="15" hidden="false" customHeight="false" outlineLevel="0" collapsed="false">
      <c r="A697" s="3" t="s">
        <v>730</v>
      </c>
      <c r="B697" s="3" t="s">
        <v>22</v>
      </c>
      <c r="C697" s="3" t="n">
        <v>2441</v>
      </c>
      <c r="D697" s="3" t="n">
        <v>207</v>
      </c>
      <c r="E697" s="3" t="n">
        <v>942</v>
      </c>
      <c r="F697" s="3" t="n">
        <v>3106</v>
      </c>
      <c r="G697" s="3" t="n">
        <v>6</v>
      </c>
      <c r="H697" s="3" t="n">
        <v>972283.9</v>
      </c>
      <c r="I697" s="3" t="n">
        <v>553</v>
      </c>
      <c r="J697" s="3" t="n">
        <v>302724</v>
      </c>
      <c r="K697" s="3" t="n">
        <v>61576</v>
      </c>
      <c r="L697" s="3" t="n">
        <v>420</v>
      </c>
      <c r="M697" s="4" t="n">
        <f aca="false">IFERROR(D697/C697,0)</f>
        <v>0.0848013109381401</v>
      </c>
      <c r="N697" s="4" t="n">
        <f aca="false">IFERROR(E697/C697,0)</f>
        <v>0.385907414993855</v>
      </c>
      <c r="O697" s="5" t="n">
        <f aca="false">IFERROR(F697/MAX(C697-D697,1),0)</f>
        <v>1.39033124440466</v>
      </c>
      <c r="P697" s="5" t="n">
        <f aca="false">IFERROR(F697/C697,0)</f>
        <v>1.27242933224088</v>
      </c>
      <c r="Q697" s="5" t="n">
        <f aca="false">IFERROR(H697/C697,0)</f>
        <v>398.313764850471</v>
      </c>
      <c r="R697" s="4" t="n">
        <f aca="false">IFERROR(I697/F697,0)</f>
        <v>0.178042498390213</v>
      </c>
      <c r="S697" s="4" t="n">
        <f aca="false">IFERROR(K697/J697,0)</f>
        <v>0.203406403192347</v>
      </c>
      <c r="T697" s="6" t="s">
        <v>23</v>
      </c>
    </row>
    <row r="698" customFormat="false" ht="15" hidden="false" customHeight="false" outlineLevel="0" collapsed="false">
      <c r="A698" s="3" t="s">
        <v>731</v>
      </c>
      <c r="B698" s="3" t="s">
        <v>22</v>
      </c>
      <c r="C698" s="3" t="n">
        <v>828</v>
      </c>
      <c r="D698" s="3" t="n">
        <v>86</v>
      </c>
      <c r="E698" s="3" t="n">
        <v>212</v>
      </c>
      <c r="F698" s="3" t="n">
        <v>2411</v>
      </c>
      <c r="G698" s="3" t="n">
        <v>15</v>
      </c>
      <c r="H698" s="3" t="n">
        <v>464464.4</v>
      </c>
      <c r="I698" s="3" t="n">
        <v>570</v>
      </c>
      <c r="J698" s="3" t="n">
        <v>63010</v>
      </c>
      <c r="K698" s="3" t="n">
        <v>7946</v>
      </c>
      <c r="L698" s="3" t="n">
        <v>164</v>
      </c>
      <c r="M698" s="4" t="n">
        <f aca="false">IFERROR(D698/C698,0)</f>
        <v>0.103864734299517</v>
      </c>
      <c r="N698" s="4" t="n">
        <f aca="false">IFERROR(E698/C698,0)</f>
        <v>0.256038647342995</v>
      </c>
      <c r="O698" s="5" t="n">
        <f aca="false">IFERROR(F698/MAX(C698-D698,1),0)</f>
        <v>3.24932614555256</v>
      </c>
      <c r="P698" s="5" t="n">
        <f aca="false">IFERROR(F698/C698,0)</f>
        <v>2.91183574879227</v>
      </c>
      <c r="Q698" s="5" t="n">
        <f aca="false">IFERROR(H698/C698,0)</f>
        <v>560.947342995169</v>
      </c>
      <c r="R698" s="4" t="n">
        <f aca="false">IFERROR(I698/F698,0)</f>
        <v>0.236416424720033</v>
      </c>
      <c r="S698" s="4" t="n">
        <f aca="false">IFERROR(K698/J698,0)</f>
        <v>0.126106967148072</v>
      </c>
      <c r="T698" s="6" t="s">
        <v>23</v>
      </c>
    </row>
    <row r="699" customFormat="false" ht="15" hidden="false" customHeight="false" outlineLevel="0" collapsed="false">
      <c r="A699" s="3" t="s">
        <v>732</v>
      </c>
      <c r="B699" s="3" t="s">
        <v>26</v>
      </c>
      <c r="C699" s="3" t="n">
        <v>3165</v>
      </c>
      <c r="D699" s="3" t="n">
        <v>403</v>
      </c>
      <c r="E699" s="3" t="n">
        <v>1304</v>
      </c>
      <c r="F699" s="3" t="n">
        <v>9904</v>
      </c>
      <c r="G699" s="3" t="n">
        <v>13</v>
      </c>
      <c r="H699" s="3" t="n">
        <v>1684238.1</v>
      </c>
      <c r="I699" s="3" t="n">
        <v>1334</v>
      </c>
      <c r="J699" s="3" t="n">
        <v>528692</v>
      </c>
      <c r="K699" s="3" t="n">
        <v>88860</v>
      </c>
      <c r="L699" s="3" t="n">
        <v>497</v>
      </c>
      <c r="M699" s="4" t="n">
        <f aca="false">IFERROR(D699/C699,0)</f>
        <v>0.127330173775671</v>
      </c>
      <c r="N699" s="4" t="n">
        <f aca="false">IFERROR(E699/C699,0)</f>
        <v>0.412006319115324</v>
      </c>
      <c r="O699" s="5" t="n">
        <f aca="false">IFERROR(F699/MAX(C699-D699,1),0)</f>
        <v>3.58580738595221</v>
      </c>
      <c r="P699" s="5" t="n">
        <f aca="false">IFERROR(F699/C699,0)</f>
        <v>3.12922590837283</v>
      </c>
      <c r="Q699" s="5" t="n">
        <f aca="false">IFERROR(H699/C699,0)</f>
        <v>532.144739336493</v>
      </c>
      <c r="R699" s="4" t="n">
        <f aca="false">IFERROR(I699/F699,0)</f>
        <v>0.134693053311793</v>
      </c>
      <c r="S699" s="4" t="n">
        <f aca="false">IFERROR(K699/J699,0)</f>
        <v>0.168075174203506</v>
      </c>
      <c r="T699" s="6" t="s">
        <v>23</v>
      </c>
    </row>
    <row r="700" customFormat="false" ht="15" hidden="false" customHeight="false" outlineLevel="0" collapsed="false">
      <c r="A700" s="3" t="s">
        <v>733</v>
      </c>
      <c r="B700" s="3" t="s">
        <v>29</v>
      </c>
      <c r="C700" s="3" t="n">
        <v>2541</v>
      </c>
      <c r="D700" s="3" t="n">
        <v>193</v>
      </c>
      <c r="E700" s="3" t="n">
        <v>765</v>
      </c>
      <c r="F700" s="3" t="n">
        <v>1937</v>
      </c>
      <c r="G700" s="3" t="n">
        <v>3</v>
      </c>
      <c r="H700" s="3" t="n">
        <v>1025659.2</v>
      </c>
      <c r="I700" s="3" t="n">
        <v>232</v>
      </c>
      <c r="J700" s="3" t="n">
        <v>225998</v>
      </c>
      <c r="K700" s="3" t="n">
        <v>59632</v>
      </c>
      <c r="L700" s="3" t="n">
        <v>0</v>
      </c>
      <c r="M700" s="4" t="n">
        <f aca="false">IFERROR(D700/C700,0)</f>
        <v>0.0759543486816214</v>
      </c>
      <c r="N700" s="4" t="n">
        <f aca="false">IFERROR(E700/C700,0)</f>
        <v>0.301062573789847</v>
      </c>
      <c r="O700" s="5" t="n">
        <f aca="false">IFERROR(F700/MAX(C700-D700,1),0)</f>
        <v>0.824957410562181</v>
      </c>
      <c r="P700" s="5" t="n">
        <f aca="false">IFERROR(F700/C700,0)</f>
        <v>0.762298307752853</v>
      </c>
      <c r="Q700" s="5" t="n">
        <f aca="false">IFERROR(H700/C700,0)</f>
        <v>403.643919716647</v>
      </c>
      <c r="R700" s="4" t="n">
        <f aca="false">IFERROR(I700/F700,0)</f>
        <v>0.119772844605059</v>
      </c>
      <c r="S700" s="4" t="n">
        <f aca="false">IFERROR(K700/J700,0)</f>
        <v>0.263860742130461</v>
      </c>
      <c r="T700" s="6" t="s">
        <v>23</v>
      </c>
    </row>
    <row r="701" customFormat="false" ht="15" hidden="false" customHeight="false" outlineLevel="0" collapsed="false">
      <c r="A701" s="3" t="s">
        <v>734</v>
      </c>
      <c r="B701" s="3" t="s">
        <v>29</v>
      </c>
      <c r="C701" s="3" t="n">
        <v>3939</v>
      </c>
      <c r="D701" s="3" t="n">
        <v>406</v>
      </c>
      <c r="E701" s="3" t="n">
        <v>1383</v>
      </c>
      <c r="F701" s="3" t="n">
        <v>11580</v>
      </c>
      <c r="G701" s="3" t="n">
        <v>12</v>
      </c>
      <c r="H701" s="3" t="n">
        <v>1803304</v>
      </c>
      <c r="I701" s="3" t="n">
        <v>2399</v>
      </c>
      <c r="J701" s="3" t="n">
        <v>545997</v>
      </c>
      <c r="K701" s="3" t="n">
        <v>120795</v>
      </c>
      <c r="L701" s="3" t="n">
        <v>0</v>
      </c>
      <c r="M701" s="4" t="n">
        <f aca="false">IFERROR(D701/C701,0)</f>
        <v>0.103071845646103</v>
      </c>
      <c r="N701" s="4" t="n">
        <f aca="false">IFERROR(E701/C701,0)</f>
        <v>0.351104341203351</v>
      </c>
      <c r="O701" s="5" t="n">
        <f aca="false">IFERROR(F701/MAX(C701-D701,1),0)</f>
        <v>3.27766770450042</v>
      </c>
      <c r="P701" s="5" t="n">
        <f aca="false">IFERROR(F701/C701,0)</f>
        <v>2.93983244478294</v>
      </c>
      <c r="Q701" s="5" t="n">
        <f aca="false">IFERROR(H701/C701,0)</f>
        <v>457.807565371922</v>
      </c>
      <c r="R701" s="4" t="n">
        <f aca="false">IFERROR(I701/F701,0)</f>
        <v>0.207167530224525</v>
      </c>
      <c r="S701" s="4" t="n">
        <f aca="false">IFERROR(K701/J701,0)</f>
        <v>0.221237479326809</v>
      </c>
      <c r="T701" s="6" t="s">
        <v>23</v>
      </c>
    </row>
    <row r="702" customFormat="false" ht="15" hidden="false" customHeight="false" outlineLevel="0" collapsed="false">
      <c r="A702" s="3" t="s">
        <v>735</v>
      </c>
      <c r="B702" s="3" t="s">
        <v>26</v>
      </c>
      <c r="C702" s="3" t="n">
        <v>889</v>
      </c>
      <c r="D702" s="3" t="n">
        <v>32</v>
      </c>
      <c r="E702" s="3" t="n">
        <v>318</v>
      </c>
      <c r="F702" s="3" t="n">
        <v>887</v>
      </c>
      <c r="G702" s="3" t="n">
        <v>5</v>
      </c>
      <c r="H702" s="3" t="n">
        <v>80010</v>
      </c>
      <c r="I702" s="3" t="n">
        <v>137</v>
      </c>
      <c r="J702" s="3" t="n">
        <v>91904</v>
      </c>
      <c r="K702" s="3" t="n">
        <v>15401</v>
      </c>
      <c r="L702" s="3" t="n">
        <v>151</v>
      </c>
      <c r="M702" s="4" t="n">
        <f aca="false">IFERROR(D702/C702,0)</f>
        <v>0.0359955005624297</v>
      </c>
      <c r="N702" s="4" t="n">
        <f aca="false">IFERROR(E702/C702,0)</f>
        <v>0.357705286839145</v>
      </c>
      <c r="O702" s="5" t="n">
        <f aca="false">IFERROR(F702/MAX(C702-D702,1),0)</f>
        <v>1.03500583430572</v>
      </c>
      <c r="P702" s="5" t="n">
        <f aca="false">IFERROR(F702/C702,0)</f>
        <v>0.997750281214848</v>
      </c>
      <c r="Q702" s="5" t="n">
        <f aca="false">IFERROR(H702/C702,0)</f>
        <v>90</v>
      </c>
      <c r="R702" s="4" t="n">
        <f aca="false">IFERROR(I702/F702,0)</f>
        <v>0.15445321307779</v>
      </c>
      <c r="S702" s="4" t="n">
        <f aca="false">IFERROR(K702/J702,0)</f>
        <v>0.167577036908078</v>
      </c>
      <c r="T702" s="6" t="s">
        <v>23</v>
      </c>
    </row>
    <row r="703" customFormat="false" ht="15" hidden="false" customHeight="false" outlineLevel="0" collapsed="false">
      <c r="A703" s="9" t="s">
        <v>736</v>
      </c>
      <c r="B703" s="9" t="s">
        <v>26</v>
      </c>
      <c r="C703" s="9" t="n">
        <v>2521</v>
      </c>
      <c r="D703" s="9" t="n">
        <v>814</v>
      </c>
      <c r="E703" s="9" t="n">
        <v>1552</v>
      </c>
      <c r="F703" s="9" t="n">
        <v>18509</v>
      </c>
      <c r="G703" s="9" t="n">
        <v>28</v>
      </c>
      <c r="H703" s="9" t="n">
        <v>1922288.2</v>
      </c>
      <c r="I703" s="9" t="n">
        <v>11095</v>
      </c>
      <c r="J703" s="9" t="n">
        <v>225920</v>
      </c>
      <c r="K703" s="9" t="n">
        <v>167278</v>
      </c>
      <c r="L703" s="9" t="n">
        <v>707</v>
      </c>
      <c r="M703" s="10" t="n">
        <f aca="false">IFERROR(D703/C703,0)</f>
        <v>0.322887742959143</v>
      </c>
      <c r="N703" s="10" t="n">
        <f aca="false">IFERROR(E703/C703,0)</f>
        <v>0.615628718762396</v>
      </c>
      <c r="O703" s="11" t="n">
        <f aca="false">IFERROR(F703/MAX(C703-D703,1),0)</f>
        <v>10.8429994141769</v>
      </c>
      <c r="P703" s="11" t="n">
        <f aca="false">IFERROR(F703/C703,0)</f>
        <v>7.34192780642602</v>
      </c>
      <c r="Q703" s="11" t="n">
        <f aca="false">IFERROR(H703/C703,0)</f>
        <v>762.510194367315</v>
      </c>
      <c r="R703" s="10" t="n">
        <f aca="false">IFERROR(I703/F703,0)</f>
        <v>0.599438111189151</v>
      </c>
      <c r="S703" s="10" t="n">
        <f aca="false">IFERROR(K703/J703,0)</f>
        <v>0.740430240793201</v>
      </c>
      <c r="T703" s="12" t="s">
        <v>30</v>
      </c>
    </row>
    <row r="704" customFormat="false" ht="15" hidden="false" customHeight="false" outlineLevel="0" collapsed="false">
      <c r="A704" s="3" t="s">
        <v>737</v>
      </c>
      <c r="B704" s="3" t="s">
        <v>22</v>
      </c>
      <c r="C704" s="3" t="n">
        <v>2528</v>
      </c>
      <c r="D704" s="3" t="n">
        <v>231</v>
      </c>
      <c r="E704" s="3" t="n">
        <v>987</v>
      </c>
      <c r="F704" s="3" t="n">
        <v>6047</v>
      </c>
      <c r="G704" s="3" t="n">
        <v>15</v>
      </c>
      <c r="H704" s="3" t="n">
        <v>786853.8</v>
      </c>
      <c r="I704" s="3" t="n">
        <v>1024</v>
      </c>
      <c r="J704" s="3" t="n">
        <v>243679</v>
      </c>
      <c r="K704" s="3" t="n">
        <v>43505</v>
      </c>
      <c r="L704" s="3" t="n">
        <v>695</v>
      </c>
      <c r="M704" s="4" t="n">
        <f aca="false">IFERROR(D704/C704,0)</f>
        <v>0.091376582278481</v>
      </c>
      <c r="N704" s="4" t="n">
        <f aca="false">IFERROR(E704/C704,0)</f>
        <v>0.390427215189873</v>
      </c>
      <c r="O704" s="5" t="n">
        <f aca="false">IFERROR(F704/MAX(C704-D704,1),0)</f>
        <v>2.63256421419243</v>
      </c>
      <c r="P704" s="5" t="n">
        <f aca="false">IFERROR(F704/C704,0)</f>
        <v>2.39200949367089</v>
      </c>
      <c r="Q704" s="5" t="n">
        <f aca="false">IFERROR(H704/C704,0)</f>
        <v>311.25545886076</v>
      </c>
      <c r="R704" s="4" t="n">
        <f aca="false">IFERROR(I704/F704,0)</f>
        <v>0.169340168678684</v>
      </c>
      <c r="S704" s="4" t="n">
        <f aca="false">IFERROR(K704/J704,0)</f>
        <v>0.178534055047829</v>
      </c>
      <c r="T704" s="6" t="s">
        <v>23</v>
      </c>
    </row>
    <row r="705" customFormat="false" ht="15" hidden="false" customHeight="false" outlineLevel="0" collapsed="false">
      <c r="A705" s="3" t="s">
        <v>738</v>
      </c>
      <c r="B705" s="3" t="s">
        <v>26</v>
      </c>
      <c r="C705" s="3" t="n">
        <v>2067</v>
      </c>
      <c r="D705" s="3" t="n">
        <v>139</v>
      </c>
      <c r="E705" s="3" t="n">
        <v>800</v>
      </c>
      <c r="F705" s="3" t="n">
        <v>3676</v>
      </c>
      <c r="G705" s="3" t="n">
        <v>8</v>
      </c>
      <c r="H705" s="3" t="n">
        <v>844594.9</v>
      </c>
      <c r="I705" s="3" t="n">
        <v>661</v>
      </c>
      <c r="J705" s="3" t="n">
        <v>306722</v>
      </c>
      <c r="K705" s="3" t="n">
        <v>39555</v>
      </c>
      <c r="L705" s="3" t="n">
        <v>762</v>
      </c>
      <c r="M705" s="4" t="n">
        <f aca="false">IFERROR(D705/C705,0)</f>
        <v>0.0672472181906144</v>
      </c>
      <c r="N705" s="4" t="n">
        <f aca="false">IFERROR(E705/C705,0)</f>
        <v>0.3870343492985</v>
      </c>
      <c r="O705" s="5" t="n">
        <f aca="false">IFERROR(F705/MAX(C705-D705,1),0)</f>
        <v>1.90663900414938</v>
      </c>
      <c r="P705" s="5" t="n">
        <f aca="false">IFERROR(F705/C705,0)</f>
        <v>1.77842283502661</v>
      </c>
      <c r="Q705" s="5" t="n">
        <f aca="false">IFERROR(H705/C705,0)</f>
        <v>408.609046927915</v>
      </c>
      <c r="R705" s="4" t="n">
        <f aca="false">IFERROR(I705/F705,0)</f>
        <v>0.179815016322089</v>
      </c>
      <c r="S705" s="4" t="n">
        <f aca="false">IFERROR(K705/J705,0)</f>
        <v>0.128960426705616</v>
      </c>
      <c r="T705" s="6" t="s">
        <v>23</v>
      </c>
    </row>
    <row r="706" customFormat="false" ht="15" hidden="false" customHeight="false" outlineLevel="0" collapsed="false">
      <c r="A706" s="3" t="s">
        <v>739</v>
      </c>
      <c r="B706" s="3" t="s">
        <v>26</v>
      </c>
      <c r="C706" s="3" t="n">
        <v>803</v>
      </c>
      <c r="D706" s="3" t="n">
        <v>56</v>
      </c>
      <c r="E706" s="3" t="n">
        <v>177</v>
      </c>
      <c r="F706" s="3" t="n">
        <v>1526</v>
      </c>
      <c r="G706" s="3" t="n">
        <v>5</v>
      </c>
      <c r="H706" s="3" t="n">
        <v>344460.8</v>
      </c>
      <c r="I706" s="3" t="n">
        <v>310</v>
      </c>
      <c r="J706" s="3" t="n">
        <v>140511</v>
      </c>
      <c r="K706" s="3" t="n">
        <v>21300</v>
      </c>
      <c r="L706" s="3" t="n">
        <v>247</v>
      </c>
      <c r="M706" s="4" t="n">
        <f aca="false">IFERROR(D706/C706,0)</f>
        <v>0.0697384806973848</v>
      </c>
      <c r="N706" s="4" t="n">
        <f aca="false">IFERROR(E706/C706,0)</f>
        <v>0.220423412204234</v>
      </c>
      <c r="O706" s="5" t="n">
        <f aca="false">IFERROR(F706/MAX(C706-D706,1),0)</f>
        <v>2.04283801874163</v>
      </c>
      <c r="P706" s="5" t="n">
        <f aca="false">IFERROR(F706/C706,0)</f>
        <v>1.90037359900374</v>
      </c>
      <c r="Q706" s="5" t="n">
        <f aca="false">IFERROR(H706/C706,0)</f>
        <v>428.967372353674</v>
      </c>
      <c r="R706" s="4" t="n">
        <f aca="false">IFERROR(I706/F706,0)</f>
        <v>0.203145478374836</v>
      </c>
      <c r="S706" s="4" t="n">
        <f aca="false">IFERROR(K706/J706,0)</f>
        <v>0.151589555266136</v>
      </c>
      <c r="T706" s="6" t="s">
        <v>23</v>
      </c>
    </row>
    <row r="707" customFormat="false" ht="15" hidden="false" customHeight="false" outlineLevel="0" collapsed="false">
      <c r="A707" s="3" t="s">
        <v>740</v>
      </c>
      <c r="B707" s="3" t="s">
        <v>26</v>
      </c>
      <c r="C707" s="3" t="n">
        <v>1298</v>
      </c>
      <c r="D707" s="3" t="n">
        <v>164</v>
      </c>
      <c r="E707" s="3" t="n">
        <v>401</v>
      </c>
      <c r="F707" s="3" t="n">
        <v>4099</v>
      </c>
      <c r="G707" s="3" t="n">
        <v>17</v>
      </c>
      <c r="H707" s="3" t="n">
        <v>699453.7</v>
      </c>
      <c r="I707" s="3" t="n">
        <v>697</v>
      </c>
      <c r="J707" s="3" t="n">
        <v>146123</v>
      </c>
      <c r="K707" s="3" t="n">
        <v>35734</v>
      </c>
      <c r="L707" s="3" t="n">
        <v>462</v>
      </c>
      <c r="M707" s="4" t="n">
        <f aca="false">IFERROR(D707/C707,0)</f>
        <v>0.126348228043143</v>
      </c>
      <c r="N707" s="4" t="n">
        <f aca="false">IFERROR(E707/C707,0)</f>
        <v>0.308936825885978</v>
      </c>
      <c r="O707" s="5" t="n">
        <f aca="false">IFERROR(F707/MAX(C707-D707,1),0)</f>
        <v>3.61463844797178</v>
      </c>
      <c r="P707" s="5" t="n">
        <f aca="false">IFERROR(F707/C707,0)</f>
        <v>3.15793528505393</v>
      </c>
      <c r="Q707" s="5" t="n">
        <f aca="false">IFERROR(H707/C707,0)</f>
        <v>538.870338983051</v>
      </c>
      <c r="R707" s="4" t="n">
        <f aca="false">IFERROR(I707/F707,0)</f>
        <v>0.170041473530129</v>
      </c>
      <c r="S707" s="4" t="n">
        <f aca="false">IFERROR(K707/J707,0)</f>
        <v>0.24454740184639</v>
      </c>
      <c r="T707" s="6" t="s">
        <v>23</v>
      </c>
    </row>
    <row r="708" customFormat="false" ht="15" hidden="false" customHeight="false" outlineLevel="0" collapsed="false">
      <c r="A708" s="9" t="s">
        <v>741</v>
      </c>
      <c r="B708" s="9" t="s">
        <v>26</v>
      </c>
      <c r="C708" s="9" t="n">
        <v>354</v>
      </c>
      <c r="D708" s="9" t="n">
        <v>89</v>
      </c>
      <c r="E708" s="9" t="n">
        <v>183</v>
      </c>
      <c r="F708" s="9" t="n">
        <v>2974</v>
      </c>
      <c r="G708" s="9" t="n">
        <v>26</v>
      </c>
      <c r="H708" s="9" t="n">
        <v>217629.9</v>
      </c>
      <c r="I708" s="9" t="n">
        <v>2014</v>
      </c>
      <c r="J708" s="9" t="n">
        <v>40656</v>
      </c>
      <c r="K708" s="9" t="n">
        <v>16357</v>
      </c>
      <c r="L708" s="9" t="n">
        <v>99</v>
      </c>
      <c r="M708" s="10" t="n">
        <f aca="false">IFERROR(D708/C708,0)</f>
        <v>0.251412429378531</v>
      </c>
      <c r="N708" s="10" t="n">
        <f aca="false">IFERROR(E708/C708,0)</f>
        <v>0.516949152542373</v>
      </c>
      <c r="O708" s="11" t="n">
        <f aca="false">IFERROR(F708/MAX(C708-D708,1),0)</f>
        <v>11.222641509434</v>
      </c>
      <c r="P708" s="11" t="n">
        <f aca="false">IFERROR(F708/C708,0)</f>
        <v>8.40112994350283</v>
      </c>
      <c r="Q708" s="11" t="n">
        <f aca="false">IFERROR(H708/C708,0)</f>
        <v>614.773728813559</v>
      </c>
      <c r="R708" s="10" t="n">
        <f aca="false">IFERROR(I708/F708,0)</f>
        <v>0.677202420981843</v>
      </c>
      <c r="S708" s="10" t="n">
        <f aca="false">IFERROR(K708/J708,0)</f>
        <v>0.40232683982684</v>
      </c>
      <c r="T708" s="12" t="s">
        <v>30</v>
      </c>
    </row>
    <row r="709" customFormat="false" ht="15" hidden="false" customHeight="false" outlineLevel="0" collapsed="false">
      <c r="A709" s="3" t="s">
        <v>742</v>
      </c>
      <c r="B709" s="3" t="s">
        <v>26</v>
      </c>
      <c r="C709" s="3" t="n">
        <v>1678</v>
      </c>
      <c r="D709" s="3" t="n">
        <v>90</v>
      </c>
      <c r="E709" s="3" t="n">
        <v>428</v>
      </c>
      <c r="F709" s="3" t="n">
        <v>4049</v>
      </c>
      <c r="G709" s="3" t="n">
        <v>10</v>
      </c>
      <c r="H709" s="3" t="n">
        <v>793356.5</v>
      </c>
      <c r="I709" s="3" t="n">
        <v>601</v>
      </c>
      <c r="J709" s="3" t="n">
        <v>129913</v>
      </c>
      <c r="K709" s="3" t="n">
        <v>27677</v>
      </c>
      <c r="L709" s="3" t="n">
        <v>217</v>
      </c>
      <c r="M709" s="4" t="n">
        <f aca="false">IFERROR(D709/C709,0)</f>
        <v>0.0536352800953516</v>
      </c>
      <c r="N709" s="4" t="n">
        <f aca="false">IFERROR(E709/C709,0)</f>
        <v>0.255065554231228</v>
      </c>
      <c r="O709" s="5" t="n">
        <f aca="false">IFERROR(F709/MAX(C709-D709,1),0)</f>
        <v>2.54974811083123</v>
      </c>
      <c r="P709" s="5" t="n">
        <f aca="false">IFERROR(F709/C709,0)</f>
        <v>2.41299165673421</v>
      </c>
      <c r="Q709" s="5" t="n">
        <f aca="false">IFERROR(H709/C709,0)</f>
        <v>472.798867699642</v>
      </c>
      <c r="R709" s="4" t="n">
        <f aca="false">IFERROR(I709/F709,0)</f>
        <v>0.148431711533712</v>
      </c>
      <c r="S709" s="4" t="n">
        <f aca="false">IFERROR(K709/J709,0)</f>
        <v>0.213042574646109</v>
      </c>
      <c r="T709" s="6" t="s">
        <v>23</v>
      </c>
    </row>
    <row r="710" customFormat="false" ht="15" hidden="false" customHeight="false" outlineLevel="0" collapsed="false">
      <c r="A710" s="3" t="s">
        <v>743</v>
      </c>
      <c r="B710" s="3" t="s">
        <v>22</v>
      </c>
      <c r="C710" s="3" t="n">
        <v>3536</v>
      </c>
      <c r="D710" s="3" t="n">
        <v>452</v>
      </c>
      <c r="E710" s="3" t="n">
        <v>1183</v>
      </c>
      <c r="F710" s="3" t="n">
        <v>11546</v>
      </c>
      <c r="G710" s="3" t="n">
        <v>14</v>
      </c>
      <c r="H710" s="3" t="n">
        <v>2743534.1</v>
      </c>
      <c r="I710" s="3" t="n">
        <v>2381</v>
      </c>
      <c r="J710" s="3" t="n">
        <v>318930</v>
      </c>
      <c r="K710" s="3" t="n">
        <v>48057</v>
      </c>
      <c r="L710" s="3" t="n">
        <v>1979</v>
      </c>
      <c r="M710" s="4" t="n">
        <f aca="false">IFERROR(D710/C710,0)</f>
        <v>0.127828054298643</v>
      </c>
      <c r="N710" s="4" t="n">
        <f aca="false">IFERROR(E710/C710,0)</f>
        <v>0.334558823529412</v>
      </c>
      <c r="O710" s="5" t="n">
        <f aca="false">IFERROR(F710/MAX(C710-D710,1),0)</f>
        <v>3.74383916990921</v>
      </c>
      <c r="P710" s="5" t="n">
        <f aca="false">IFERROR(F710/C710,0)</f>
        <v>3.26527149321267</v>
      </c>
      <c r="Q710" s="5" t="n">
        <f aca="false">IFERROR(H710/C710,0)</f>
        <v>775.886340497738</v>
      </c>
      <c r="R710" s="4" t="n">
        <f aca="false">IFERROR(I710/F710,0)</f>
        <v>0.206218603845488</v>
      </c>
      <c r="S710" s="4" t="n">
        <f aca="false">IFERROR(K710/J710,0)</f>
        <v>0.150681967829931</v>
      </c>
      <c r="T710" s="6" t="s">
        <v>23</v>
      </c>
    </row>
    <row r="711" customFormat="false" ht="15" hidden="false" customHeight="false" outlineLevel="0" collapsed="false">
      <c r="A711" s="9" t="s">
        <v>744</v>
      </c>
      <c r="B711" s="9" t="s">
        <v>22</v>
      </c>
      <c r="C711" s="9" t="n">
        <v>3552</v>
      </c>
      <c r="D711" s="9" t="n">
        <v>741</v>
      </c>
      <c r="E711" s="9" t="n">
        <v>1673</v>
      </c>
      <c r="F711" s="9" t="n">
        <v>29384</v>
      </c>
      <c r="G711" s="9" t="n">
        <v>30</v>
      </c>
      <c r="H711" s="9" t="n">
        <v>4248834.5</v>
      </c>
      <c r="I711" s="9" t="n">
        <v>12522</v>
      </c>
      <c r="J711" s="9" t="n">
        <v>468676</v>
      </c>
      <c r="K711" s="9" t="n">
        <v>164037</v>
      </c>
      <c r="L711" s="9" t="n">
        <v>900</v>
      </c>
      <c r="M711" s="10" t="n">
        <f aca="false">IFERROR(D711/C711,0)</f>
        <v>0.208614864864865</v>
      </c>
      <c r="N711" s="10" t="n">
        <f aca="false">IFERROR(E711/C711,0)</f>
        <v>0.471002252252252</v>
      </c>
      <c r="O711" s="11" t="n">
        <f aca="false">IFERROR(F711/MAX(C711-D711,1),0)</f>
        <v>10.4532194948417</v>
      </c>
      <c r="P711" s="11" t="n">
        <f aca="false">IFERROR(F711/C711,0)</f>
        <v>8.27252252252252</v>
      </c>
      <c r="Q711" s="11" t="n">
        <f aca="false">IFERROR(H711/C711,0)</f>
        <v>1196.18088400901</v>
      </c>
      <c r="R711" s="10" t="n">
        <f aca="false">IFERROR(I711/F711,0)</f>
        <v>0.426150285869861</v>
      </c>
      <c r="S711" s="10" t="n">
        <f aca="false">IFERROR(K711/J711,0)</f>
        <v>0.350000853468068</v>
      </c>
      <c r="T711" s="12" t="s">
        <v>30</v>
      </c>
    </row>
    <row r="712" customFormat="false" ht="15" hidden="false" customHeight="false" outlineLevel="0" collapsed="false">
      <c r="A712" s="3" t="s">
        <v>745</v>
      </c>
      <c r="B712" s="3" t="s">
        <v>22</v>
      </c>
      <c r="C712" s="3" t="n">
        <v>707</v>
      </c>
      <c r="D712" s="3" t="n">
        <v>92</v>
      </c>
      <c r="E712" s="3" t="n">
        <v>271</v>
      </c>
      <c r="F712" s="3" t="n">
        <v>2470</v>
      </c>
      <c r="G712" s="3" t="n">
        <v>16</v>
      </c>
      <c r="H712" s="3" t="n">
        <v>396135.9</v>
      </c>
      <c r="I712" s="3" t="n">
        <v>389</v>
      </c>
      <c r="J712" s="3" t="n">
        <v>111453</v>
      </c>
      <c r="K712" s="3" t="n">
        <v>20379</v>
      </c>
      <c r="L712" s="3" t="n">
        <v>249</v>
      </c>
      <c r="M712" s="4" t="n">
        <f aca="false">IFERROR(D712/C712,0)</f>
        <v>0.13012729844413</v>
      </c>
      <c r="N712" s="4" t="n">
        <f aca="false">IFERROR(E712/C712,0)</f>
        <v>0.383309759547383</v>
      </c>
      <c r="O712" s="5" t="n">
        <f aca="false">IFERROR(F712/MAX(C712-D712,1),0)</f>
        <v>4.01626016260163</v>
      </c>
      <c r="P712" s="5" t="n">
        <f aca="false">IFERROR(F712/C712,0)</f>
        <v>3.49363507779349</v>
      </c>
      <c r="Q712" s="5" t="n">
        <f aca="false">IFERROR(H712/C712,0)</f>
        <v>560.305374823197</v>
      </c>
      <c r="R712" s="4" t="n">
        <f aca="false">IFERROR(I712/F712,0)</f>
        <v>0.15748987854251</v>
      </c>
      <c r="S712" s="4" t="n">
        <f aca="false">IFERROR(K712/J712,0)</f>
        <v>0.182848375548437</v>
      </c>
      <c r="T712" s="6" t="s">
        <v>23</v>
      </c>
    </row>
    <row r="713" customFormat="false" ht="15" hidden="false" customHeight="false" outlineLevel="0" collapsed="false">
      <c r="A713" s="3" t="s">
        <v>746</v>
      </c>
      <c r="B713" s="3" t="s">
        <v>29</v>
      </c>
      <c r="C713" s="3" t="n">
        <v>2355</v>
      </c>
      <c r="D713" s="3" t="n">
        <v>310</v>
      </c>
      <c r="E713" s="3" t="n">
        <v>792</v>
      </c>
      <c r="F713" s="3" t="n">
        <v>7407</v>
      </c>
      <c r="G713" s="3" t="n">
        <v>11</v>
      </c>
      <c r="H713" s="3" t="n">
        <v>1163624.2</v>
      </c>
      <c r="I713" s="3" t="n">
        <v>1644</v>
      </c>
      <c r="J713" s="3" t="n">
        <v>318126</v>
      </c>
      <c r="K713" s="3" t="n">
        <v>72406</v>
      </c>
      <c r="L713" s="3" t="n">
        <v>0</v>
      </c>
      <c r="M713" s="4" t="n">
        <f aca="false">IFERROR(D713/C713,0)</f>
        <v>0.131634819532909</v>
      </c>
      <c r="N713" s="4" t="n">
        <f aca="false">IFERROR(E713/C713,0)</f>
        <v>0.336305732484076</v>
      </c>
      <c r="O713" s="5" t="n">
        <f aca="false">IFERROR(F713/MAX(C713-D713,1),0)</f>
        <v>3.62200488997555</v>
      </c>
      <c r="P713" s="5" t="n">
        <f aca="false">IFERROR(F713/C713,0)</f>
        <v>3.14522292993631</v>
      </c>
      <c r="Q713" s="5" t="n">
        <f aca="false">IFERROR(H713/C713,0)</f>
        <v>494.107940552017</v>
      </c>
      <c r="R713" s="4" t="n">
        <f aca="false">IFERROR(I713/F713,0)</f>
        <v>0.221952207371405</v>
      </c>
      <c r="S713" s="4" t="n">
        <f aca="false">IFERROR(K713/J713,0)</f>
        <v>0.227601642116646</v>
      </c>
      <c r="T713" s="6" t="s">
        <v>23</v>
      </c>
    </row>
    <row r="714" customFormat="false" ht="15" hidden="false" customHeight="false" outlineLevel="0" collapsed="false">
      <c r="A714" s="3" t="s">
        <v>747</v>
      </c>
      <c r="B714" s="3" t="s">
        <v>26</v>
      </c>
      <c r="C714" s="3" t="n">
        <v>3593</v>
      </c>
      <c r="D714" s="3" t="n">
        <v>401</v>
      </c>
      <c r="E714" s="3" t="n">
        <v>1553</v>
      </c>
      <c r="F714" s="3" t="n">
        <v>10582</v>
      </c>
      <c r="G714" s="3" t="n">
        <v>10</v>
      </c>
      <c r="H714" s="3" t="n">
        <v>1570555.4</v>
      </c>
      <c r="I714" s="3" t="n">
        <v>1906</v>
      </c>
      <c r="J714" s="3" t="n">
        <v>547394</v>
      </c>
      <c r="K714" s="3" t="n">
        <v>126341</v>
      </c>
      <c r="L714" s="3" t="n">
        <v>914</v>
      </c>
      <c r="M714" s="4" t="n">
        <f aca="false">IFERROR(D714/C714,0)</f>
        <v>0.111605900361815</v>
      </c>
      <c r="N714" s="4" t="n">
        <f aca="false">IFERROR(E714/C714,0)</f>
        <v>0.432229334817701</v>
      </c>
      <c r="O714" s="5" t="n">
        <f aca="false">IFERROR(F714/MAX(C714-D714,1),0)</f>
        <v>3.31516290726817</v>
      </c>
      <c r="P714" s="5" t="n">
        <f aca="false">IFERROR(F714/C714,0)</f>
        <v>2.94517116615642</v>
      </c>
      <c r="Q714" s="5" t="n">
        <f aca="false">IFERROR(H714/C714,0)</f>
        <v>437.115335374339</v>
      </c>
      <c r="R714" s="4" t="n">
        <f aca="false">IFERROR(I714/F714,0)</f>
        <v>0.18011718011718</v>
      </c>
      <c r="S714" s="4" t="n">
        <f aca="false">IFERROR(K714/J714,0)</f>
        <v>0.230804502789581</v>
      </c>
      <c r="T714" s="6" t="s">
        <v>23</v>
      </c>
    </row>
    <row r="715" customFormat="false" ht="15" hidden="false" customHeight="false" outlineLevel="0" collapsed="false">
      <c r="A715" s="9" t="s">
        <v>748</v>
      </c>
      <c r="B715" s="9" t="s">
        <v>26</v>
      </c>
      <c r="C715" s="9" t="n">
        <v>2400</v>
      </c>
      <c r="D715" s="9" t="n">
        <v>544</v>
      </c>
      <c r="E715" s="9" t="n">
        <v>1378</v>
      </c>
      <c r="F715" s="9" t="n">
        <v>19791</v>
      </c>
      <c r="G715" s="9" t="n">
        <v>22</v>
      </c>
      <c r="H715" s="9" t="n">
        <v>2304549.7</v>
      </c>
      <c r="I715" s="9" t="n">
        <v>14395</v>
      </c>
      <c r="J715" s="9" t="n">
        <v>235103</v>
      </c>
      <c r="K715" s="9" t="n">
        <v>192194</v>
      </c>
      <c r="L715" s="9" t="n">
        <v>849</v>
      </c>
      <c r="M715" s="10" t="n">
        <f aca="false">IFERROR(D715/C715,0)</f>
        <v>0.226666666666667</v>
      </c>
      <c r="N715" s="10" t="n">
        <f aca="false">IFERROR(E715/C715,0)</f>
        <v>0.574166666666667</v>
      </c>
      <c r="O715" s="11" t="n">
        <f aca="false">IFERROR(F715/MAX(C715-D715,1),0)</f>
        <v>10.6632543103448</v>
      </c>
      <c r="P715" s="11" t="n">
        <f aca="false">IFERROR(F715/C715,0)</f>
        <v>8.24625</v>
      </c>
      <c r="Q715" s="11" t="n">
        <f aca="false">IFERROR(H715/C715,0)</f>
        <v>960.229041666667</v>
      </c>
      <c r="R715" s="10" t="n">
        <f aca="false">IFERROR(I715/F715,0)</f>
        <v>0.727350816027487</v>
      </c>
      <c r="S715" s="10" t="n">
        <f aca="false">IFERROR(K715/J715,0)</f>
        <v>0.817488505038217</v>
      </c>
      <c r="T715" s="12" t="s">
        <v>30</v>
      </c>
    </row>
    <row r="716" customFormat="false" ht="15" hidden="false" customHeight="false" outlineLevel="0" collapsed="false">
      <c r="A716" s="9" t="s">
        <v>749</v>
      </c>
      <c r="B716" s="9" t="s">
        <v>26</v>
      </c>
      <c r="C716" s="9" t="n">
        <v>2719</v>
      </c>
      <c r="D716" s="9" t="n">
        <v>559</v>
      </c>
      <c r="E716" s="9" t="n">
        <v>1353</v>
      </c>
      <c r="F716" s="9" t="n">
        <v>22977</v>
      </c>
      <c r="G716" s="9" t="n">
        <v>17</v>
      </c>
      <c r="H716" s="9" t="n">
        <v>2474512.4</v>
      </c>
      <c r="I716" s="9" t="n">
        <v>12231</v>
      </c>
      <c r="J716" s="9" t="n">
        <v>194354</v>
      </c>
      <c r="K716" s="9" t="n">
        <v>136622</v>
      </c>
      <c r="L716" s="9" t="n">
        <v>298</v>
      </c>
      <c r="M716" s="10" t="n">
        <f aca="false">IFERROR(D716/C716,0)</f>
        <v>0.205590290547996</v>
      </c>
      <c r="N716" s="10" t="n">
        <f aca="false">IFERROR(E716/C716,0)</f>
        <v>0.497609415226186</v>
      </c>
      <c r="O716" s="11" t="n">
        <f aca="false">IFERROR(F716/MAX(C716-D716,1),0)</f>
        <v>10.6375</v>
      </c>
      <c r="P716" s="11" t="n">
        <f aca="false">IFERROR(F716/C716,0)</f>
        <v>8.4505332842957</v>
      </c>
      <c r="Q716" s="11" t="n">
        <f aca="false">IFERROR(H716/C716,0)</f>
        <v>910.081794777492</v>
      </c>
      <c r="R716" s="10" t="n">
        <f aca="false">IFERROR(I716/F716,0)</f>
        <v>0.532314923619272</v>
      </c>
      <c r="S716" s="10" t="n">
        <f aca="false">IFERROR(K716/J716,0)</f>
        <v>0.702954402790784</v>
      </c>
      <c r="T716" s="12" t="s">
        <v>30</v>
      </c>
    </row>
    <row r="717" customFormat="false" ht="15" hidden="false" customHeight="false" outlineLevel="0" collapsed="false">
      <c r="A717" s="3" t="s">
        <v>750</v>
      </c>
      <c r="B717" s="3" t="s">
        <v>22</v>
      </c>
      <c r="C717" s="3" t="n">
        <v>3889</v>
      </c>
      <c r="D717" s="3" t="n">
        <v>454</v>
      </c>
      <c r="E717" s="3" t="n">
        <v>1272</v>
      </c>
      <c r="F717" s="3" t="n">
        <v>12290</v>
      </c>
      <c r="G717" s="3" t="n">
        <v>13</v>
      </c>
      <c r="H717" s="3" t="n">
        <v>2048499</v>
      </c>
      <c r="I717" s="3" t="n">
        <v>2956</v>
      </c>
      <c r="J717" s="3" t="n">
        <v>417052</v>
      </c>
      <c r="K717" s="3" t="n">
        <v>94328</v>
      </c>
      <c r="L717" s="3" t="n">
        <v>648</v>
      </c>
      <c r="M717" s="4" t="n">
        <f aca="false">IFERROR(D717/C717,0)</f>
        <v>0.116739521727951</v>
      </c>
      <c r="N717" s="4" t="n">
        <f aca="false">IFERROR(E717/C717,0)</f>
        <v>0.327076369246593</v>
      </c>
      <c r="O717" s="5" t="n">
        <f aca="false">IFERROR(F717/MAX(C717-D717,1),0)</f>
        <v>3.57787481804949</v>
      </c>
      <c r="P717" s="5" t="n">
        <f aca="false">IFERROR(F717/C717,0)</f>
        <v>3.16019542298792</v>
      </c>
      <c r="Q717" s="5" t="n">
        <f aca="false">IFERROR(H717/C717,0)</f>
        <v>526.741835947544</v>
      </c>
      <c r="R717" s="4" t="n">
        <f aca="false">IFERROR(I717/F717,0)</f>
        <v>0.240520748576078</v>
      </c>
      <c r="S717" s="4" t="n">
        <f aca="false">IFERROR(K717/J717,0)</f>
        <v>0.226178030557341</v>
      </c>
      <c r="T717" s="6" t="s">
        <v>23</v>
      </c>
    </row>
    <row r="718" customFormat="false" ht="15" hidden="false" customHeight="false" outlineLevel="0" collapsed="false">
      <c r="A718" s="9" t="s">
        <v>751</v>
      </c>
      <c r="B718" s="9" t="s">
        <v>22</v>
      </c>
      <c r="C718" s="9" t="n">
        <v>2746</v>
      </c>
      <c r="D718" s="9" t="n">
        <v>750</v>
      </c>
      <c r="E718" s="9" t="n">
        <v>1238</v>
      </c>
      <c r="F718" s="9" t="n">
        <v>28686</v>
      </c>
      <c r="G718" s="9" t="n">
        <v>29</v>
      </c>
      <c r="H718" s="9" t="n">
        <v>2240880.8</v>
      </c>
      <c r="I718" s="9" t="n">
        <v>19566</v>
      </c>
      <c r="J718" s="9" t="n">
        <v>471088</v>
      </c>
      <c r="K718" s="9" t="n">
        <v>342221</v>
      </c>
      <c r="L718" s="9" t="n">
        <v>1240</v>
      </c>
      <c r="M718" s="10" t="n">
        <f aca="false">IFERROR(D718/C718,0)</f>
        <v>0.273124544792425</v>
      </c>
      <c r="N718" s="10" t="n">
        <f aca="false">IFERROR(E718/C718,0)</f>
        <v>0.450837581937363</v>
      </c>
      <c r="O718" s="11" t="n">
        <f aca="false">IFERROR(F718/MAX(C718-D718,1),0)</f>
        <v>14.3717434869739</v>
      </c>
      <c r="P718" s="11" t="n">
        <f aca="false">IFERROR(F718/C718,0)</f>
        <v>10.4464675892207</v>
      </c>
      <c r="Q718" s="11" t="n">
        <f aca="false">IFERROR(H718/C718,0)</f>
        <v>816.052731245448</v>
      </c>
      <c r="R718" s="10" t="n">
        <f aca="false">IFERROR(I718/F718,0)</f>
        <v>0.682074879732274</v>
      </c>
      <c r="S718" s="10" t="n">
        <f aca="false">IFERROR(K718/J718,0)</f>
        <v>0.726448137078423</v>
      </c>
      <c r="T718" s="12" t="s">
        <v>30</v>
      </c>
    </row>
    <row r="719" customFormat="false" ht="15" hidden="false" customHeight="false" outlineLevel="0" collapsed="false">
      <c r="A719" s="3" t="s">
        <v>752</v>
      </c>
      <c r="B719" s="3" t="s">
        <v>22</v>
      </c>
      <c r="C719" s="3" t="n">
        <v>334</v>
      </c>
      <c r="D719" s="3" t="n">
        <v>54</v>
      </c>
      <c r="E719" s="3" t="n">
        <v>120</v>
      </c>
      <c r="F719" s="3" t="n">
        <v>1182</v>
      </c>
      <c r="G719" s="3" t="n">
        <v>13</v>
      </c>
      <c r="H719" s="3" t="n">
        <v>203576.7</v>
      </c>
      <c r="I719" s="3" t="n">
        <v>245</v>
      </c>
      <c r="J719" s="3" t="n">
        <v>36962</v>
      </c>
      <c r="K719" s="3" t="n">
        <v>6087</v>
      </c>
      <c r="L719" s="3" t="n">
        <v>114</v>
      </c>
      <c r="M719" s="4" t="n">
        <f aca="false">IFERROR(D719/C719,0)</f>
        <v>0.161676646706587</v>
      </c>
      <c r="N719" s="4" t="n">
        <f aca="false">IFERROR(E719/C719,0)</f>
        <v>0.359281437125749</v>
      </c>
      <c r="O719" s="5" t="n">
        <f aca="false">IFERROR(F719/MAX(C719-D719,1),0)</f>
        <v>4.22142857142857</v>
      </c>
      <c r="P719" s="5" t="n">
        <f aca="false">IFERROR(F719/C719,0)</f>
        <v>3.53892215568862</v>
      </c>
      <c r="Q719" s="5" t="n">
        <f aca="false">IFERROR(H719/C719,0)</f>
        <v>609.511077844311</v>
      </c>
      <c r="R719" s="4" t="n">
        <f aca="false">IFERROR(I719/F719,0)</f>
        <v>0.207275803722504</v>
      </c>
      <c r="S719" s="4" t="n">
        <f aca="false">IFERROR(K719/J719,0)</f>
        <v>0.164682647042909</v>
      </c>
      <c r="T719" s="6" t="s">
        <v>23</v>
      </c>
    </row>
    <row r="720" customFormat="false" ht="15" hidden="false" customHeight="false" outlineLevel="0" collapsed="false">
      <c r="A720" s="3" t="s">
        <v>753</v>
      </c>
      <c r="B720" s="3" t="s">
        <v>22</v>
      </c>
      <c r="C720" s="3" t="n">
        <v>3841</v>
      </c>
      <c r="D720" s="3" t="n">
        <v>473</v>
      </c>
      <c r="E720" s="3" t="n">
        <v>1646</v>
      </c>
      <c r="F720" s="3" t="n">
        <v>7045</v>
      </c>
      <c r="G720" s="3" t="n">
        <v>5</v>
      </c>
      <c r="H720" s="3" t="n">
        <v>1867263.7</v>
      </c>
      <c r="I720" s="3" t="n">
        <v>574</v>
      </c>
      <c r="J720" s="3" t="n">
        <v>296017</v>
      </c>
      <c r="K720" s="3" t="n">
        <v>44611</v>
      </c>
      <c r="L720" s="3" t="n">
        <v>1471</v>
      </c>
      <c r="M720" s="4" t="n">
        <f aca="false">IFERROR(D720/C720,0)</f>
        <v>0.123145014319188</v>
      </c>
      <c r="N720" s="4" t="n">
        <f aca="false">IFERROR(E720/C720,0)</f>
        <v>0.428534235876074</v>
      </c>
      <c r="O720" s="5" t="n">
        <f aca="false">IFERROR(F720/MAX(C720-D720,1),0)</f>
        <v>2.0917458432304</v>
      </c>
      <c r="P720" s="5" t="n">
        <f aca="false">IFERROR(F720/C720,0)</f>
        <v>1.83415777141369</v>
      </c>
      <c r="Q720" s="5" t="n">
        <f aca="false">IFERROR(H720/C720,0)</f>
        <v>486.139989586045</v>
      </c>
      <c r="R720" s="4" t="n">
        <f aca="false">IFERROR(I720/F720,0)</f>
        <v>0.0814762242725337</v>
      </c>
      <c r="S720" s="4" t="n">
        <f aca="false">IFERROR(K720/J720,0)</f>
        <v>0.150704182530057</v>
      </c>
      <c r="T720" s="6" t="s">
        <v>23</v>
      </c>
    </row>
    <row r="721" customFormat="false" ht="15" hidden="false" customHeight="false" outlineLevel="0" collapsed="false">
      <c r="A721" s="3" t="s">
        <v>754</v>
      </c>
      <c r="B721" s="3" t="s">
        <v>26</v>
      </c>
      <c r="C721" s="3" t="n">
        <v>1637</v>
      </c>
      <c r="D721" s="3" t="n">
        <v>162</v>
      </c>
      <c r="E721" s="3" t="n">
        <v>469</v>
      </c>
      <c r="F721" s="3" t="n">
        <v>5284</v>
      </c>
      <c r="G721" s="3" t="n">
        <v>14</v>
      </c>
      <c r="H721" s="3" t="n">
        <v>1015356.6</v>
      </c>
      <c r="I721" s="3" t="n">
        <v>1134</v>
      </c>
      <c r="J721" s="3" t="n">
        <v>199825</v>
      </c>
      <c r="K721" s="3" t="n">
        <v>43452</v>
      </c>
      <c r="L721" s="3" t="n">
        <v>211</v>
      </c>
      <c r="M721" s="4" t="n">
        <f aca="false">IFERROR(D721/C721,0)</f>
        <v>0.098961514966402</v>
      </c>
      <c r="N721" s="4" t="n">
        <f aca="false">IFERROR(E721/C721,0)</f>
        <v>0.286499694563225</v>
      </c>
      <c r="O721" s="5" t="n">
        <f aca="false">IFERROR(F721/MAX(C721-D721,1),0)</f>
        <v>3.58237288135593</v>
      </c>
      <c r="P721" s="5" t="n">
        <f aca="false">IFERROR(F721/C721,0)</f>
        <v>3.22785583384239</v>
      </c>
      <c r="Q721" s="5" t="n">
        <f aca="false">IFERROR(H721/C721,0)</f>
        <v>620.254489920587</v>
      </c>
      <c r="R721" s="4" t="n">
        <f aca="false">IFERROR(I721/F721,0)</f>
        <v>0.214610143830432</v>
      </c>
      <c r="S721" s="4" t="n">
        <f aca="false">IFERROR(K721/J721,0)</f>
        <v>0.217450268985362</v>
      </c>
      <c r="T721" s="6" t="s">
        <v>23</v>
      </c>
    </row>
    <row r="722" customFormat="false" ht="15" hidden="false" customHeight="false" outlineLevel="0" collapsed="false">
      <c r="A722" s="3" t="s">
        <v>755</v>
      </c>
      <c r="B722" s="3" t="s">
        <v>22</v>
      </c>
      <c r="C722" s="3" t="n">
        <v>1399</v>
      </c>
      <c r="D722" s="3" t="n">
        <v>117</v>
      </c>
      <c r="E722" s="3" t="n">
        <v>450</v>
      </c>
      <c r="F722" s="3" t="n">
        <v>3885</v>
      </c>
      <c r="G722" s="3" t="n">
        <v>12</v>
      </c>
      <c r="H722" s="3" t="n">
        <v>515029</v>
      </c>
      <c r="I722" s="3" t="n">
        <v>888</v>
      </c>
      <c r="J722" s="3" t="n">
        <v>248104</v>
      </c>
      <c r="K722" s="3" t="n">
        <v>48918</v>
      </c>
      <c r="L722" s="3" t="n">
        <v>300</v>
      </c>
      <c r="M722" s="4" t="n">
        <f aca="false">IFERROR(D722/C722,0)</f>
        <v>0.0836311651179414</v>
      </c>
      <c r="N722" s="4" t="n">
        <f aca="false">IFERROR(E722/C722,0)</f>
        <v>0.321658327376698</v>
      </c>
      <c r="O722" s="5" t="n">
        <f aca="false">IFERROR(F722/MAX(C722-D722,1),0)</f>
        <v>3.03042121684867</v>
      </c>
      <c r="P722" s="5" t="n">
        <f aca="false">IFERROR(F722/C722,0)</f>
        <v>2.77698355968549</v>
      </c>
      <c r="Q722" s="5" t="n">
        <f aca="false">IFERROR(H722/C722,0)</f>
        <v>368.140814867763</v>
      </c>
      <c r="R722" s="4" t="n">
        <f aca="false">IFERROR(I722/F722,0)</f>
        <v>0.228571428571429</v>
      </c>
      <c r="S722" s="4" t="n">
        <f aca="false">IFERROR(K722/J722,0)</f>
        <v>0.197167316931609</v>
      </c>
      <c r="T722" s="6" t="s">
        <v>23</v>
      </c>
    </row>
    <row r="723" customFormat="false" ht="15" hidden="false" customHeight="false" outlineLevel="0" collapsed="false">
      <c r="A723" s="3" t="s">
        <v>756</v>
      </c>
      <c r="B723" s="3" t="s">
        <v>26</v>
      </c>
      <c r="C723" s="3" t="n">
        <v>1450</v>
      </c>
      <c r="D723" s="3" t="n">
        <v>70</v>
      </c>
      <c r="E723" s="3" t="n">
        <v>535</v>
      </c>
      <c r="F723" s="3" t="n">
        <v>2618</v>
      </c>
      <c r="G723" s="3" t="n">
        <v>5</v>
      </c>
      <c r="H723" s="3" t="n">
        <v>566144.3</v>
      </c>
      <c r="I723" s="3" t="n">
        <v>446</v>
      </c>
      <c r="J723" s="3" t="n">
        <v>161755</v>
      </c>
      <c r="K723" s="3" t="n">
        <v>21898</v>
      </c>
      <c r="L723" s="3" t="n">
        <v>429</v>
      </c>
      <c r="M723" s="4" t="n">
        <f aca="false">IFERROR(D723/C723,0)</f>
        <v>0.0482758620689655</v>
      </c>
      <c r="N723" s="4" t="n">
        <f aca="false">IFERROR(E723/C723,0)</f>
        <v>0.368965517241379</v>
      </c>
      <c r="O723" s="5" t="n">
        <f aca="false">IFERROR(F723/MAX(C723-D723,1),0)</f>
        <v>1.89710144927536</v>
      </c>
      <c r="P723" s="5" t="n">
        <f aca="false">IFERROR(F723/C723,0)</f>
        <v>1.80551724137931</v>
      </c>
      <c r="Q723" s="5" t="n">
        <f aca="false">IFERROR(H723/C723,0)</f>
        <v>390.444344827586</v>
      </c>
      <c r="R723" s="4" t="n">
        <f aca="false">IFERROR(I723/F723,0)</f>
        <v>0.170359052711994</v>
      </c>
      <c r="S723" s="4" t="n">
        <f aca="false">IFERROR(K723/J723,0)</f>
        <v>0.135377577200087</v>
      </c>
      <c r="T723" s="6" t="s">
        <v>23</v>
      </c>
    </row>
    <row r="724" customFormat="false" ht="15" hidden="false" customHeight="false" outlineLevel="0" collapsed="false">
      <c r="A724" s="3" t="s">
        <v>757</v>
      </c>
      <c r="B724" s="3" t="s">
        <v>29</v>
      </c>
      <c r="C724" s="3" t="n">
        <v>3760</v>
      </c>
      <c r="D724" s="3" t="n">
        <v>145</v>
      </c>
      <c r="E724" s="3" t="n">
        <v>835</v>
      </c>
      <c r="F724" s="3" t="n">
        <v>5534</v>
      </c>
      <c r="G724" s="3" t="n">
        <v>4</v>
      </c>
      <c r="H724" s="3" t="n">
        <v>1608681.5</v>
      </c>
      <c r="I724" s="3" t="n">
        <v>1046</v>
      </c>
      <c r="J724" s="3" t="n">
        <v>674528</v>
      </c>
      <c r="K724" s="3" t="n">
        <v>107681</v>
      </c>
      <c r="L724" s="3" t="n">
        <v>0</v>
      </c>
      <c r="M724" s="4" t="n">
        <f aca="false">IFERROR(D724/C724,0)</f>
        <v>0.038563829787234</v>
      </c>
      <c r="N724" s="4" t="n">
        <f aca="false">IFERROR(E724/C724,0)</f>
        <v>0.222074468085106</v>
      </c>
      <c r="O724" s="5" t="n">
        <f aca="false">IFERROR(F724/MAX(C724-D724,1),0)</f>
        <v>1.53084370677732</v>
      </c>
      <c r="P724" s="5" t="n">
        <f aca="false">IFERROR(F724/C724,0)</f>
        <v>1.4718085106383</v>
      </c>
      <c r="Q724" s="5" t="n">
        <f aca="false">IFERROR(H724/C724,0)</f>
        <v>427.840824468085</v>
      </c>
      <c r="R724" s="4" t="n">
        <f aca="false">IFERROR(I724/F724,0)</f>
        <v>0.189013371882906</v>
      </c>
      <c r="S724" s="4" t="n">
        <f aca="false">IFERROR(K724/J724,0)</f>
        <v>0.159639036481807</v>
      </c>
      <c r="T724" s="6" t="s">
        <v>23</v>
      </c>
    </row>
    <row r="725" customFormat="false" ht="15" hidden="false" customHeight="false" outlineLevel="0" collapsed="false">
      <c r="A725" s="3" t="s">
        <v>758</v>
      </c>
      <c r="B725" s="3" t="s">
        <v>26</v>
      </c>
      <c r="C725" s="3" t="n">
        <v>779</v>
      </c>
      <c r="D725" s="3" t="n">
        <v>106</v>
      </c>
      <c r="E725" s="3" t="n">
        <v>356</v>
      </c>
      <c r="F725" s="3" t="n">
        <v>2591</v>
      </c>
      <c r="G725" s="3" t="n">
        <v>13</v>
      </c>
      <c r="H725" s="3" t="n">
        <v>412997.9</v>
      </c>
      <c r="I725" s="3" t="n">
        <v>557</v>
      </c>
      <c r="J725" s="3" t="n">
        <v>81268</v>
      </c>
      <c r="K725" s="3" t="n">
        <v>17449</v>
      </c>
      <c r="L725" s="3" t="n">
        <v>357</v>
      </c>
      <c r="M725" s="4" t="n">
        <f aca="false">IFERROR(D725/C725,0)</f>
        <v>0.13607188703466</v>
      </c>
      <c r="N725" s="4" t="n">
        <f aca="false">IFERROR(E725/C725,0)</f>
        <v>0.456996148908858</v>
      </c>
      <c r="O725" s="5" t="n">
        <f aca="false">IFERROR(F725/MAX(C725-D725,1),0)</f>
        <v>3.84992570579495</v>
      </c>
      <c r="P725" s="5" t="n">
        <f aca="false">IFERROR(F725/C725,0)</f>
        <v>3.32605905006418</v>
      </c>
      <c r="Q725" s="5" t="n">
        <f aca="false">IFERROR(H725/C725,0)</f>
        <v>530.164184852375</v>
      </c>
      <c r="R725" s="4" t="n">
        <f aca="false">IFERROR(I725/F725,0)</f>
        <v>0.214974913160942</v>
      </c>
      <c r="S725" s="4" t="n">
        <f aca="false">IFERROR(K725/J725,0)</f>
        <v>0.214709356696363</v>
      </c>
      <c r="T725" s="6" t="s">
        <v>23</v>
      </c>
    </row>
    <row r="726" customFormat="false" ht="15" hidden="false" customHeight="false" outlineLevel="0" collapsed="false">
      <c r="A726" s="3" t="s">
        <v>759</v>
      </c>
      <c r="B726" s="3" t="s">
        <v>29</v>
      </c>
      <c r="C726" s="3" t="n">
        <v>2615</v>
      </c>
      <c r="D726" s="3" t="n">
        <v>213</v>
      </c>
      <c r="E726" s="3" t="n">
        <v>909</v>
      </c>
      <c r="F726" s="3" t="n">
        <v>5330</v>
      </c>
      <c r="G726" s="3" t="n">
        <v>6</v>
      </c>
      <c r="H726" s="3" t="n">
        <v>1383247.7</v>
      </c>
      <c r="I726" s="3" t="n">
        <v>1177</v>
      </c>
      <c r="J726" s="3" t="n">
        <v>252356</v>
      </c>
      <c r="K726" s="3" t="n">
        <v>42373</v>
      </c>
      <c r="L726" s="3" t="n">
        <v>0</v>
      </c>
      <c r="M726" s="4" t="n">
        <f aca="false">IFERROR(D726/C726,0)</f>
        <v>0.081453154875717</v>
      </c>
      <c r="N726" s="4" t="n">
        <f aca="false">IFERROR(E726/C726,0)</f>
        <v>0.347609942638623</v>
      </c>
      <c r="O726" s="5" t="n">
        <f aca="false">IFERROR(F726/MAX(C726-D726,1),0)</f>
        <v>2.21898417985013</v>
      </c>
      <c r="P726" s="5" t="n">
        <f aca="false">IFERROR(F726/C726,0)</f>
        <v>2.03824091778203</v>
      </c>
      <c r="Q726" s="5" t="n">
        <f aca="false">IFERROR(H726/C726,0)</f>
        <v>528.966615678776</v>
      </c>
      <c r="R726" s="4" t="n">
        <f aca="false">IFERROR(I726/F726,0)</f>
        <v>0.220825515947467</v>
      </c>
      <c r="S726" s="4" t="n">
        <f aca="false">IFERROR(K726/J726,0)</f>
        <v>0.167909619743537</v>
      </c>
      <c r="T726" s="6" t="s">
        <v>23</v>
      </c>
    </row>
    <row r="727" customFormat="false" ht="15" hidden="false" customHeight="false" outlineLevel="0" collapsed="false">
      <c r="A727" s="3" t="s">
        <v>760</v>
      </c>
      <c r="B727" s="3" t="s">
        <v>29</v>
      </c>
      <c r="C727" s="3" t="n">
        <v>2973</v>
      </c>
      <c r="D727" s="3" t="n">
        <v>453</v>
      </c>
      <c r="E727" s="3" t="n">
        <v>1361</v>
      </c>
      <c r="F727" s="3" t="n">
        <v>11173</v>
      </c>
      <c r="G727" s="3" t="n">
        <v>15</v>
      </c>
      <c r="H727" s="3" t="n">
        <v>1946859.3</v>
      </c>
      <c r="I727" s="3" t="n">
        <v>2627</v>
      </c>
      <c r="J727" s="3" t="n">
        <v>470620</v>
      </c>
      <c r="K727" s="3" t="n">
        <v>114998</v>
      </c>
      <c r="L727" s="3" t="n">
        <v>0</v>
      </c>
      <c r="M727" s="4" t="n">
        <f aca="false">IFERROR(D727/C727,0)</f>
        <v>0.152371342078708</v>
      </c>
      <c r="N727" s="4" t="n">
        <f aca="false">IFERROR(E727/C727,0)</f>
        <v>0.457786747393206</v>
      </c>
      <c r="O727" s="5" t="n">
        <f aca="false">IFERROR(F727/MAX(C727-D727,1),0)</f>
        <v>4.43373015873016</v>
      </c>
      <c r="P727" s="5" t="n">
        <f aca="false">IFERROR(F727/C727,0)</f>
        <v>3.7581567440296</v>
      </c>
      <c r="Q727" s="5" t="n">
        <f aca="false">IFERROR(H727/C727,0)</f>
        <v>654.846720484359</v>
      </c>
      <c r="R727" s="4" t="n">
        <f aca="false">IFERROR(I727/F727,0)</f>
        <v>0.235120379486262</v>
      </c>
      <c r="S727" s="4" t="n">
        <f aca="false">IFERROR(K727/J727,0)</f>
        <v>0.244354256087714</v>
      </c>
      <c r="T727" s="6" t="s">
        <v>23</v>
      </c>
    </row>
    <row r="728" customFormat="false" ht="15" hidden="false" customHeight="false" outlineLevel="0" collapsed="false">
      <c r="A728" s="9" t="s">
        <v>761</v>
      </c>
      <c r="B728" s="9" t="s">
        <v>22</v>
      </c>
      <c r="C728" s="9" t="n">
        <v>3741</v>
      </c>
      <c r="D728" s="9" t="n">
        <v>1474</v>
      </c>
      <c r="E728" s="9" t="n">
        <v>2667</v>
      </c>
      <c r="F728" s="9" t="n">
        <v>33770</v>
      </c>
      <c r="G728" s="9" t="n">
        <v>24</v>
      </c>
      <c r="H728" s="9" t="n">
        <v>3395694.3</v>
      </c>
      <c r="I728" s="9" t="n">
        <v>20543</v>
      </c>
      <c r="J728" s="9" t="n">
        <v>682913</v>
      </c>
      <c r="K728" s="9" t="n">
        <v>346768</v>
      </c>
      <c r="L728" s="9" t="n">
        <v>1491</v>
      </c>
      <c r="M728" s="10" t="n">
        <f aca="false">IFERROR(D728/C728,0)</f>
        <v>0.394012296177493</v>
      </c>
      <c r="N728" s="10" t="n">
        <f aca="false">IFERROR(E728/C728,0)</f>
        <v>0.712910986367282</v>
      </c>
      <c r="O728" s="11" t="n">
        <f aca="false">IFERROR(F728/MAX(C728-D728,1),0)</f>
        <v>14.8963387737097</v>
      </c>
      <c r="P728" s="11" t="n">
        <f aca="false">IFERROR(F728/C728,0)</f>
        <v>9.02699812884256</v>
      </c>
      <c r="Q728" s="11" t="n">
        <f aca="false">IFERROR(H728/C728,0)</f>
        <v>907.696952686447</v>
      </c>
      <c r="R728" s="10" t="n">
        <f aca="false">IFERROR(I728/F728,0)</f>
        <v>0.608320994965946</v>
      </c>
      <c r="S728" s="10" t="n">
        <f aca="false">IFERROR(K728/J728,0)</f>
        <v>0.507777711070078</v>
      </c>
      <c r="T728" s="12" t="s">
        <v>30</v>
      </c>
    </row>
    <row r="729" customFormat="false" ht="15" hidden="false" customHeight="false" outlineLevel="0" collapsed="false">
      <c r="A729" s="3" t="s">
        <v>762</v>
      </c>
      <c r="B729" s="3" t="s">
        <v>22</v>
      </c>
      <c r="C729" s="3" t="n">
        <v>3966</v>
      </c>
      <c r="D729" s="3" t="n">
        <v>521</v>
      </c>
      <c r="E729" s="3" t="n">
        <v>1496</v>
      </c>
      <c r="F729" s="3" t="n">
        <v>14988</v>
      </c>
      <c r="G729" s="3" t="n">
        <v>15</v>
      </c>
      <c r="H729" s="3" t="n">
        <v>1940386.2</v>
      </c>
      <c r="I729" s="3" t="n">
        <v>3222</v>
      </c>
      <c r="J729" s="3" t="n">
        <v>372309</v>
      </c>
      <c r="K729" s="3" t="n">
        <v>55163</v>
      </c>
      <c r="L729" s="3" t="n">
        <v>1896</v>
      </c>
      <c r="M729" s="4" t="n">
        <f aca="false">IFERROR(D729/C729,0)</f>
        <v>0.131366616238023</v>
      </c>
      <c r="N729" s="4" t="n">
        <f aca="false">IFERROR(E729/C729,0)</f>
        <v>0.37720625315179</v>
      </c>
      <c r="O729" s="5" t="n">
        <f aca="false">IFERROR(F729/MAX(C729-D729,1),0)</f>
        <v>4.35065312046444</v>
      </c>
      <c r="P729" s="5" t="n">
        <f aca="false">IFERROR(F729/C729,0)</f>
        <v>3.77912254160363</v>
      </c>
      <c r="Q729" s="5" t="n">
        <f aca="false">IFERROR(H729/C729,0)</f>
        <v>489.255219364599</v>
      </c>
      <c r="R729" s="4" t="n">
        <f aca="false">IFERROR(I729/F729,0)</f>
        <v>0.214971977582066</v>
      </c>
      <c r="S729" s="4" t="n">
        <f aca="false">IFERROR(K729/J729,0)</f>
        <v>0.14816456223191</v>
      </c>
      <c r="T729" s="6" t="s">
        <v>23</v>
      </c>
    </row>
    <row r="730" customFormat="false" ht="15" hidden="false" customHeight="false" outlineLevel="0" collapsed="false">
      <c r="A730" s="9" t="s">
        <v>763</v>
      </c>
      <c r="B730" s="9" t="s">
        <v>26</v>
      </c>
      <c r="C730" s="9" t="n">
        <v>2106</v>
      </c>
      <c r="D730" s="9" t="n">
        <v>242</v>
      </c>
      <c r="E730" s="9" t="n">
        <v>758</v>
      </c>
      <c r="F730" s="9" t="n">
        <v>15286</v>
      </c>
      <c r="G730" s="9" t="n">
        <v>22</v>
      </c>
      <c r="H730" s="9" t="n">
        <v>1688545.1</v>
      </c>
      <c r="I730" s="9" t="n">
        <v>6479</v>
      </c>
      <c r="J730" s="9" t="n">
        <v>343093</v>
      </c>
      <c r="K730" s="9" t="n">
        <v>229467</v>
      </c>
      <c r="L730" s="9" t="n">
        <v>455</v>
      </c>
      <c r="M730" s="10" t="n">
        <f aca="false">IFERROR(D730/C730,0)</f>
        <v>0.114909781576448</v>
      </c>
      <c r="N730" s="10" t="n">
        <f aca="false">IFERROR(E730/C730,0)</f>
        <v>0.359924026590693</v>
      </c>
      <c r="O730" s="11" t="n">
        <f aca="false">IFERROR(F730/MAX(C730-D730,1),0)</f>
        <v>8.20064377682403</v>
      </c>
      <c r="P730" s="11" t="n">
        <f aca="false">IFERROR(F730/C730,0)</f>
        <v>7.25830959164292</v>
      </c>
      <c r="Q730" s="11" t="n">
        <f aca="false">IFERROR(H730/C730,0)</f>
        <v>801.778300094967</v>
      </c>
      <c r="R730" s="10" t="n">
        <f aca="false">IFERROR(I730/F730,0)</f>
        <v>0.423851890618867</v>
      </c>
      <c r="S730" s="10" t="n">
        <f aca="false">IFERROR(K730/J730,0)</f>
        <v>0.668818658497842</v>
      </c>
      <c r="T730" s="12" t="s">
        <v>30</v>
      </c>
    </row>
    <row r="731" customFormat="false" ht="15" hidden="false" customHeight="false" outlineLevel="0" collapsed="false">
      <c r="A731" s="3" t="s">
        <v>764</v>
      </c>
      <c r="B731" s="3" t="s">
        <v>26</v>
      </c>
      <c r="C731" s="3" t="n">
        <v>1505</v>
      </c>
      <c r="D731" s="3" t="n">
        <v>163</v>
      </c>
      <c r="E731" s="3" t="n">
        <v>573</v>
      </c>
      <c r="F731" s="3" t="n">
        <v>4146</v>
      </c>
      <c r="G731" s="3" t="n">
        <v>12</v>
      </c>
      <c r="H731" s="3" t="n">
        <v>758420.1</v>
      </c>
      <c r="I731" s="3" t="n">
        <v>1061</v>
      </c>
      <c r="J731" s="3" t="n">
        <v>216889</v>
      </c>
      <c r="K731" s="3" t="n">
        <v>42709</v>
      </c>
      <c r="L731" s="3" t="n">
        <v>606</v>
      </c>
      <c r="M731" s="4" t="n">
        <f aca="false">IFERROR(D731/C731,0)</f>
        <v>0.108305647840532</v>
      </c>
      <c r="N731" s="4" t="n">
        <f aca="false">IFERROR(E731/C731,0)</f>
        <v>0.380730897009967</v>
      </c>
      <c r="O731" s="5" t="n">
        <f aca="false">IFERROR(F731/MAX(C731-D731,1),0)</f>
        <v>3.08941877794337</v>
      </c>
      <c r="P731" s="5" t="n">
        <f aca="false">IFERROR(F731/C731,0)</f>
        <v>2.75481727574751</v>
      </c>
      <c r="Q731" s="5" t="n">
        <f aca="false">IFERROR(H731/C731,0)</f>
        <v>503.933621262459</v>
      </c>
      <c r="R731" s="4" t="n">
        <f aca="false">IFERROR(I731/F731,0)</f>
        <v>0.255909310178485</v>
      </c>
      <c r="S731" s="4" t="n">
        <f aca="false">IFERROR(K731/J731,0)</f>
        <v>0.196916395022339</v>
      </c>
      <c r="T731" s="6" t="s">
        <v>23</v>
      </c>
    </row>
    <row r="732" customFormat="false" ht="15" hidden="false" customHeight="false" outlineLevel="0" collapsed="false">
      <c r="A732" s="3" t="s">
        <v>765</v>
      </c>
      <c r="B732" s="3" t="s">
        <v>22</v>
      </c>
      <c r="C732" s="3" t="n">
        <v>2633</v>
      </c>
      <c r="D732" s="3" t="n">
        <v>74</v>
      </c>
      <c r="E732" s="3" t="n">
        <v>846</v>
      </c>
      <c r="F732" s="3" t="n">
        <v>4626</v>
      </c>
      <c r="G732" s="3" t="n">
        <v>8</v>
      </c>
      <c r="H732" s="3" t="n">
        <v>929528.5</v>
      </c>
      <c r="I732" s="3" t="n">
        <v>661</v>
      </c>
      <c r="J732" s="3" t="n">
        <v>249097</v>
      </c>
      <c r="K732" s="3" t="n">
        <v>18157</v>
      </c>
      <c r="L732" s="3" t="n">
        <v>741</v>
      </c>
      <c r="M732" s="4" t="n">
        <f aca="false">IFERROR(D732/C732,0)</f>
        <v>0.0281048233953665</v>
      </c>
      <c r="N732" s="4" t="n">
        <f aca="false">IFERROR(E732/C732,0)</f>
        <v>0.321306494492974</v>
      </c>
      <c r="O732" s="5" t="n">
        <f aca="false">IFERROR(F732/MAX(C732-D732,1),0)</f>
        <v>1.80773739742087</v>
      </c>
      <c r="P732" s="5" t="n">
        <f aca="false">IFERROR(F732/C732,0)</f>
        <v>1.75693125712115</v>
      </c>
      <c r="Q732" s="5" t="n">
        <f aca="false">IFERROR(H732/C732,0)</f>
        <v>353.030193695405</v>
      </c>
      <c r="R732" s="4" t="n">
        <f aca="false">IFERROR(I732/F732,0)</f>
        <v>0.142888024210981</v>
      </c>
      <c r="S732" s="4" t="n">
        <f aca="false">IFERROR(K732/J732,0)</f>
        <v>0.072891283315335</v>
      </c>
      <c r="T732" s="6" t="s">
        <v>23</v>
      </c>
    </row>
    <row r="733" customFormat="false" ht="15" hidden="false" customHeight="false" outlineLevel="0" collapsed="false">
      <c r="A733" s="3" t="s">
        <v>766</v>
      </c>
      <c r="B733" s="3" t="s">
        <v>22</v>
      </c>
      <c r="C733" s="3" t="n">
        <v>1711</v>
      </c>
      <c r="D733" s="3" t="n">
        <v>210</v>
      </c>
      <c r="E733" s="3" t="n">
        <v>657</v>
      </c>
      <c r="F733" s="3" t="n">
        <v>5089</v>
      </c>
      <c r="G733" s="3" t="n">
        <v>15</v>
      </c>
      <c r="H733" s="3" t="n">
        <v>610675.2</v>
      </c>
      <c r="I733" s="3" t="n">
        <v>936</v>
      </c>
      <c r="J733" s="3" t="n">
        <v>246732</v>
      </c>
      <c r="K733" s="3" t="n">
        <v>41942</v>
      </c>
      <c r="L733" s="3" t="n">
        <v>200</v>
      </c>
      <c r="M733" s="4" t="n">
        <f aca="false">IFERROR(D733/C733,0)</f>
        <v>0.122735242548217</v>
      </c>
      <c r="N733" s="4" t="n">
        <f aca="false">IFERROR(E733/C733,0)</f>
        <v>0.383985973115137</v>
      </c>
      <c r="O733" s="5" t="n">
        <f aca="false">IFERROR(F733/MAX(C733-D733,1),0)</f>
        <v>3.39040639573618</v>
      </c>
      <c r="P733" s="5" t="n">
        <f aca="false">IFERROR(F733/C733,0)</f>
        <v>2.97428404441847</v>
      </c>
      <c r="Q733" s="5" t="n">
        <f aca="false">IFERROR(H733/C733,0)</f>
        <v>356.911279953244</v>
      </c>
      <c r="R733" s="4" t="n">
        <f aca="false">IFERROR(I733/F733,0)</f>
        <v>0.183926115150324</v>
      </c>
      <c r="S733" s="4" t="n">
        <f aca="false">IFERROR(K733/J733,0)</f>
        <v>0.169990110727429</v>
      </c>
      <c r="T733" s="6" t="s">
        <v>23</v>
      </c>
    </row>
    <row r="734" customFormat="false" ht="15" hidden="false" customHeight="false" outlineLevel="0" collapsed="false">
      <c r="A734" s="3" t="s">
        <v>767</v>
      </c>
      <c r="B734" s="3" t="s">
        <v>22</v>
      </c>
      <c r="C734" s="3" t="n">
        <v>887</v>
      </c>
      <c r="D734" s="3" t="n">
        <v>153</v>
      </c>
      <c r="E734" s="3" t="n">
        <v>306</v>
      </c>
      <c r="F734" s="3" t="n">
        <v>3698</v>
      </c>
      <c r="G734" s="3" t="n">
        <v>18</v>
      </c>
      <c r="H734" s="3" t="n">
        <v>448170.3</v>
      </c>
      <c r="I734" s="3" t="n">
        <v>1053</v>
      </c>
      <c r="J734" s="3" t="n">
        <v>85189</v>
      </c>
      <c r="K734" s="3" t="n">
        <v>16668</v>
      </c>
      <c r="L734" s="3" t="n">
        <v>423</v>
      </c>
      <c r="M734" s="4" t="n">
        <f aca="false">IFERROR(D734/C734,0)</f>
        <v>0.172491544532131</v>
      </c>
      <c r="N734" s="4" t="n">
        <f aca="false">IFERROR(E734/C734,0)</f>
        <v>0.344983089064262</v>
      </c>
      <c r="O734" s="5" t="n">
        <f aca="false">IFERROR(F734/MAX(C734-D734,1),0)</f>
        <v>5.03814713896458</v>
      </c>
      <c r="P734" s="5" t="n">
        <f aca="false">IFERROR(F734/C734,0)</f>
        <v>4.16910935738444</v>
      </c>
      <c r="Q734" s="5" t="n">
        <f aca="false">IFERROR(H734/C734,0)</f>
        <v>505.26527621195</v>
      </c>
      <c r="R734" s="4" t="n">
        <f aca="false">IFERROR(I734/F734,0)</f>
        <v>0.284748512709573</v>
      </c>
      <c r="S734" s="4" t="n">
        <f aca="false">IFERROR(K734/J734,0)</f>
        <v>0.195659063963657</v>
      </c>
      <c r="T734" s="6" t="s">
        <v>23</v>
      </c>
    </row>
    <row r="735" customFormat="false" ht="15" hidden="false" customHeight="false" outlineLevel="0" collapsed="false">
      <c r="A735" s="9" t="s">
        <v>768</v>
      </c>
      <c r="B735" s="9" t="s">
        <v>22</v>
      </c>
      <c r="C735" s="9" t="n">
        <v>1318</v>
      </c>
      <c r="D735" s="9" t="n">
        <v>583</v>
      </c>
      <c r="E735" s="9" t="n">
        <v>849</v>
      </c>
      <c r="F735" s="9" t="n">
        <v>9178</v>
      </c>
      <c r="G735" s="9" t="n">
        <v>23</v>
      </c>
      <c r="H735" s="9" t="n">
        <v>1725506.5</v>
      </c>
      <c r="I735" s="9" t="n">
        <v>5973</v>
      </c>
      <c r="J735" s="9" t="n">
        <v>225109</v>
      </c>
      <c r="K735" s="9" t="n">
        <v>174878</v>
      </c>
      <c r="L735" s="9" t="n">
        <v>322</v>
      </c>
      <c r="M735" s="10" t="n">
        <f aca="false">IFERROR(D735/C735,0)</f>
        <v>0.442336874051593</v>
      </c>
      <c r="N735" s="10" t="n">
        <f aca="false">IFERROR(E735/C735,0)</f>
        <v>0.644157814871017</v>
      </c>
      <c r="O735" s="11" t="n">
        <f aca="false">IFERROR(F735/MAX(C735-D735,1),0)</f>
        <v>12.487074829932</v>
      </c>
      <c r="P735" s="11" t="n">
        <f aca="false">IFERROR(F735/C735,0)</f>
        <v>6.96358118361153</v>
      </c>
      <c r="Q735" s="11" t="n">
        <f aca="false">IFERROR(H735/C735,0)</f>
        <v>1309.18550834598</v>
      </c>
      <c r="R735" s="10" t="n">
        <f aca="false">IFERROR(I735/F735,0)</f>
        <v>0.650795380257137</v>
      </c>
      <c r="S735" s="10" t="n">
        <f aca="false">IFERROR(K735/J735,0)</f>
        <v>0.776859210426949</v>
      </c>
      <c r="T735" s="12" t="s">
        <v>30</v>
      </c>
    </row>
    <row r="736" customFormat="false" ht="15" hidden="false" customHeight="false" outlineLevel="0" collapsed="false">
      <c r="A736" s="3" t="s">
        <v>769</v>
      </c>
      <c r="B736" s="3" t="s">
        <v>22</v>
      </c>
      <c r="C736" s="3" t="n">
        <v>551</v>
      </c>
      <c r="D736" s="3" t="n">
        <v>52</v>
      </c>
      <c r="E736" s="3" t="n">
        <v>206</v>
      </c>
      <c r="F736" s="3" t="n">
        <v>1167</v>
      </c>
      <c r="G736" s="3" t="n">
        <v>6</v>
      </c>
      <c r="H736" s="3" t="n">
        <v>298188.3</v>
      </c>
      <c r="I736" s="3" t="n">
        <v>269</v>
      </c>
      <c r="J736" s="3" t="n">
        <v>102747</v>
      </c>
      <c r="K736" s="3" t="n">
        <v>17404</v>
      </c>
      <c r="L736" s="3" t="n">
        <v>79</v>
      </c>
      <c r="M736" s="4" t="n">
        <f aca="false">IFERROR(D736/C736,0)</f>
        <v>0.0943738656987296</v>
      </c>
      <c r="N736" s="4" t="n">
        <f aca="false">IFERROR(E736/C736,0)</f>
        <v>0.373865698729583</v>
      </c>
      <c r="O736" s="5" t="n">
        <f aca="false">IFERROR(F736/MAX(C736-D736,1),0)</f>
        <v>2.33867735470942</v>
      </c>
      <c r="P736" s="5" t="n">
        <f aca="false">IFERROR(F736/C736,0)</f>
        <v>2.11796733212341</v>
      </c>
      <c r="Q736" s="5" t="n">
        <f aca="false">IFERROR(H736/C736,0)</f>
        <v>541.176588021779</v>
      </c>
      <c r="R736" s="4" t="n">
        <f aca="false">IFERROR(I736/F736,0)</f>
        <v>0.230505569837189</v>
      </c>
      <c r="S736" s="4" t="n">
        <f aca="false">IFERROR(K736/J736,0)</f>
        <v>0.169386940737929</v>
      </c>
      <c r="T736" s="6" t="s">
        <v>23</v>
      </c>
    </row>
    <row r="737" customFormat="false" ht="15" hidden="false" customHeight="false" outlineLevel="0" collapsed="false">
      <c r="A737" s="3" t="s">
        <v>770</v>
      </c>
      <c r="B737" s="3" t="s">
        <v>22</v>
      </c>
      <c r="C737" s="3" t="n">
        <v>2979</v>
      </c>
      <c r="D737" s="3" t="n">
        <v>312</v>
      </c>
      <c r="E737" s="3" t="n">
        <v>1072</v>
      </c>
      <c r="F737" s="3" t="n">
        <v>7081</v>
      </c>
      <c r="G737" s="3" t="n">
        <v>14</v>
      </c>
      <c r="H737" s="3" t="n">
        <v>1416584.7</v>
      </c>
      <c r="I737" s="3" t="n">
        <v>1297</v>
      </c>
      <c r="J737" s="3" t="n">
        <v>547202</v>
      </c>
      <c r="K737" s="3" t="n">
        <v>95953</v>
      </c>
      <c r="L737" s="3" t="n">
        <v>539</v>
      </c>
      <c r="M737" s="4" t="n">
        <f aca="false">IFERROR(D737/C737,0)</f>
        <v>0.104733131923464</v>
      </c>
      <c r="N737" s="4" t="n">
        <f aca="false">IFERROR(E737/C737,0)</f>
        <v>0.359852299429339</v>
      </c>
      <c r="O737" s="5" t="n">
        <f aca="false">IFERROR(F737/MAX(C737-D737,1),0)</f>
        <v>2.65504311961005</v>
      </c>
      <c r="P737" s="5" t="n">
        <f aca="false">IFERROR(F737/C737,0)</f>
        <v>2.37697213830144</v>
      </c>
      <c r="Q737" s="5" t="n">
        <f aca="false">IFERROR(H737/C737,0)</f>
        <v>475.523564954683</v>
      </c>
      <c r="R737" s="4" t="n">
        <f aca="false">IFERROR(I737/F737,0)</f>
        <v>0.183166219460528</v>
      </c>
      <c r="S737" s="4" t="n">
        <f aca="false">IFERROR(K737/J737,0)</f>
        <v>0.175352063771697</v>
      </c>
      <c r="T737" s="6" t="s">
        <v>23</v>
      </c>
    </row>
    <row r="738" customFormat="false" ht="15" hidden="false" customHeight="false" outlineLevel="0" collapsed="false">
      <c r="A738" s="9" t="s">
        <v>771</v>
      </c>
      <c r="B738" s="9" t="s">
        <v>22</v>
      </c>
      <c r="C738" s="9" t="n">
        <v>995</v>
      </c>
      <c r="D738" s="9" t="n">
        <v>248</v>
      </c>
      <c r="E738" s="9" t="n">
        <v>535</v>
      </c>
      <c r="F738" s="9" t="n">
        <v>7240</v>
      </c>
      <c r="G738" s="9" t="n">
        <v>28</v>
      </c>
      <c r="H738" s="9" t="n">
        <v>466676.2</v>
      </c>
      <c r="I738" s="9" t="n">
        <v>3512</v>
      </c>
      <c r="J738" s="9" t="n">
        <v>153015</v>
      </c>
      <c r="K738" s="9" t="n">
        <v>145729</v>
      </c>
      <c r="L738" s="9" t="n">
        <v>229</v>
      </c>
      <c r="M738" s="10" t="n">
        <f aca="false">IFERROR(D738/C738,0)</f>
        <v>0.249246231155779</v>
      </c>
      <c r="N738" s="10" t="n">
        <f aca="false">IFERROR(E738/C738,0)</f>
        <v>0.537688442211055</v>
      </c>
      <c r="O738" s="11" t="n">
        <f aca="false">IFERROR(F738/MAX(C738-D738,1),0)</f>
        <v>9.69210174029451</v>
      </c>
      <c r="P738" s="11" t="n">
        <f aca="false">IFERROR(F738/C738,0)</f>
        <v>7.27638190954774</v>
      </c>
      <c r="Q738" s="11" t="n">
        <f aca="false">IFERROR(H738/C738,0)</f>
        <v>469.021306532663</v>
      </c>
      <c r="R738" s="10" t="n">
        <f aca="false">IFERROR(I738/F738,0)</f>
        <v>0.485082872928177</v>
      </c>
      <c r="S738" s="10" t="n">
        <f aca="false">IFERROR(K738/J738,0)</f>
        <v>0.952383753226808</v>
      </c>
      <c r="T738" s="12" t="s">
        <v>30</v>
      </c>
    </row>
    <row r="739" customFormat="false" ht="15" hidden="false" customHeight="false" outlineLevel="0" collapsed="false">
      <c r="A739" s="3" t="s">
        <v>772</v>
      </c>
      <c r="B739" s="3" t="s">
        <v>26</v>
      </c>
      <c r="C739" s="3" t="n">
        <v>383</v>
      </c>
      <c r="D739" s="3" t="n">
        <v>24</v>
      </c>
      <c r="E739" s="3" t="n">
        <v>135</v>
      </c>
      <c r="F739" s="3" t="n">
        <v>1176</v>
      </c>
      <c r="G739" s="3" t="n">
        <v>9</v>
      </c>
      <c r="H739" s="3" t="n">
        <v>161697.4</v>
      </c>
      <c r="I739" s="3" t="n">
        <v>172</v>
      </c>
      <c r="J739" s="3" t="n">
        <v>43544</v>
      </c>
      <c r="K739" s="3" t="n">
        <v>8268</v>
      </c>
      <c r="L739" s="3" t="n">
        <v>46</v>
      </c>
      <c r="M739" s="4" t="n">
        <f aca="false">IFERROR(D739/C739,0)</f>
        <v>0.0626631853785901</v>
      </c>
      <c r="N739" s="4" t="n">
        <f aca="false">IFERROR(E739/C739,0)</f>
        <v>0.352480417754569</v>
      </c>
      <c r="O739" s="5" t="n">
        <f aca="false">IFERROR(F739/MAX(C739-D739,1),0)</f>
        <v>3.27576601671309</v>
      </c>
      <c r="P739" s="5" t="n">
        <f aca="false">IFERROR(F739/C739,0)</f>
        <v>3.07049608355091</v>
      </c>
      <c r="Q739" s="5" t="n">
        <f aca="false">IFERROR(H739/C739,0)</f>
        <v>422.186422976501</v>
      </c>
      <c r="R739" s="4" t="n">
        <f aca="false">IFERROR(I739/F739,0)</f>
        <v>0.146258503401361</v>
      </c>
      <c r="S739" s="4" t="n">
        <f aca="false">IFERROR(K739/J739,0)</f>
        <v>0.18987690611795</v>
      </c>
      <c r="T739" s="6" t="s">
        <v>23</v>
      </c>
    </row>
    <row r="740" customFormat="false" ht="15" hidden="false" customHeight="false" outlineLevel="0" collapsed="false">
      <c r="A740" s="9" t="s">
        <v>773</v>
      </c>
      <c r="B740" s="9" t="s">
        <v>22</v>
      </c>
      <c r="C740" s="9" t="n">
        <v>2774</v>
      </c>
      <c r="D740" s="9" t="n">
        <v>925</v>
      </c>
      <c r="E740" s="9" t="n">
        <v>1510</v>
      </c>
      <c r="F740" s="9" t="n">
        <v>35454</v>
      </c>
      <c r="G740" s="9" t="n">
        <v>40</v>
      </c>
      <c r="H740" s="9" t="n">
        <v>1955056.3</v>
      </c>
      <c r="I740" s="9" t="n">
        <v>25903</v>
      </c>
      <c r="J740" s="9" t="n">
        <v>349208</v>
      </c>
      <c r="K740" s="9" t="n">
        <v>252699</v>
      </c>
      <c r="L740" s="9" t="n">
        <v>825</v>
      </c>
      <c r="M740" s="10" t="n">
        <f aca="false">IFERROR(D740/C740,0)</f>
        <v>0.333453496755588</v>
      </c>
      <c r="N740" s="10" t="n">
        <f aca="false">IFERROR(E740/C740,0)</f>
        <v>0.544340302811824</v>
      </c>
      <c r="O740" s="11" t="n">
        <f aca="false">IFERROR(F740/MAX(C740-D740,1),0)</f>
        <v>19.1746890210925</v>
      </c>
      <c r="P740" s="11" t="n">
        <f aca="false">IFERROR(F740/C740,0)</f>
        <v>12.7808219178082</v>
      </c>
      <c r="Q740" s="11" t="n">
        <f aca="false">IFERROR(H740/C740,0)</f>
        <v>704.778767123288</v>
      </c>
      <c r="R740" s="10" t="n">
        <f aca="false">IFERROR(I740/F740,0)</f>
        <v>0.730608676030913</v>
      </c>
      <c r="S740" s="10" t="n">
        <f aca="false">IFERROR(K740/J740,0)</f>
        <v>0.72363462463632</v>
      </c>
      <c r="T740" s="12" t="s">
        <v>30</v>
      </c>
    </row>
    <row r="741" customFormat="false" ht="15" hidden="false" customHeight="false" outlineLevel="0" collapsed="false">
      <c r="A741" s="3" t="s">
        <v>774</v>
      </c>
      <c r="B741" s="3" t="s">
        <v>22</v>
      </c>
      <c r="C741" s="3" t="n">
        <v>1063</v>
      </c>
      <c r="D741" s="3" t="n">
        <v>45</v>
      </c>
      <c r="E741" s="3" t="n">
        <v>340</v>
      </c>
      <c r="F741" s="3" t="n">
        <v>2228</v>
      </c>
      <c r="G741" s="3" t="n">
        <v>8</v>
      </c>
      <c r="H741" s="3" t="n">
        <v>551290</v>
      </c>
      <c r="I741" s="3" t="n">
        <v>277</v>
      </c>
      <c r="J741" s="3" t="n">
        <v>172825</v>
      </c>
      <c r="K741" s="3" t="n">
        <v>18936</v>
      </c>
      <c r="L741" s="3" t="n">
        <v>200</v>
      </c>
      <c r="M741" s="4" t="n">
        <f aca="false">IFERROR(D741/C741,0)</f>
        <v>0.0423330197554092</v>
      </c>
      <c r="N741" s="4" t="n">
        <f aca="false">IFERROR(E741/C741,0)</f>
        <v>0.319849482596425</v>
      </c>
      <c r="O741" s="5" t="n">
        <f aca="false">IFERROR(F741/MAX(C741-D741,1),0)</f>
        <v>2.18860510805501</v>
      </c>
      <c r="P741" s="5" t="n">
        <f aca="false">IFERROR(F741/C741,0)</f>
        <v>2.09595484477893</v>
      </c>
      <c r="Q741" s="5" t="n">
        <f aca="false">IFERROR(H741/C741,0)</f>
        <v>518.617121354657</v>
      </c>
      <c r="R741" s="4" t="n">
        <f aca="false">IFERROR(I741/F741,0)</f>
        <v>0.124326750448833</v>
      </c>
      <c r="S741" s="4" t="n">
        <f aca="false">IFERROR(K741/J741,0)</f>
        <v>0.109567481556488</v>
      </c>
      <c r="T741" s="6" t="s">
        <v>23</v>
      </c>
    </row>
    <row r="742" customFormat="false" ht="15" hidden="false" customHeight="false" outlineLevel="0" collapsed="false">
      <c r="A742" s="9" t="s">
        <v>775</v>
      </c>
      <c r="B742" s="9" t="s">
        <v>26</v>
      </c>
      <c r="C742" s="9" t="n">
        <v>3135</v>
      </c>
      <c r="D742" s="9" t="n">
        <v>973</v>
      </c>
      <c r="E742" s="9" t="n">
        <v>1896</v>
      </c>
      <c r="F742" s="9" t="n">
        <v>27534</v>
      </c>
      <c r="G742" s="9" t="n">
        <v>25</v>
      </c>
      <c r="H742" s="9" t="n">
        <v>2824302</v>
      </c>
      <c r="I742" s="9" t="n">
        <v>15195</v>
      </c>
      <c r="J742" s="9" t="n">
        <v>499468</v>
      </c>
      <c r="K742" s="9" t="n">
        <v>389234</v>
      </c>
      <c r="L742" s="9" t="n">
        <v>981</v>
      </c>
      <c r="M742" s="10" t="n">
        <f aca="false">IFERROR(D742/C742,0)</f>
        <v>0.3103668261563</v>
      </c>
      <c r="N742" s="10" t="n">
        <f aca="false">IFERROR(E742/C742,0)</f>
        <v>0.604784688995215</v>
      </c>
      <c r="O742" s="11" t="n">
        <f aca="false">IFERROR(F742/MAX(C742-D742,1),0)</f>
        <v>12.7354301572618</v>
      </c>
      <c r="P742" s="11" t="n">
        <f aca="false">IFERROR(F742/C742,0)</f>
        <v>8.78277511961723</v>
      </c>
      <c r="Q742" s="11" t="n">
        <f aca="false">IFERROR(H742/C742,0)</f>
        <v>900.893779904306</v>
      </c>
      <c r="R742" s="10" t="n">
        <f aca="false">IFERROR(I742/F742,0)</f>
        <v>0.551863151013293</v>
      </c>
      <c r="S742" s="10" t="n">
        <f aca="false">IFERROR(K742/J742,0)</f>
        <v>0.779297172191211</v>
      </c>
      <c r="T742" s="12" t="s">
        <v>30</v>
      </c>
    </row>
    <row r="743" customFormat="false" ht="15" hidden="false" customHeight="false" outlineLevel="0" collapsed="false">
      <c r="A743" s="3" t="s">
        <v>776</v>
      </c>
      <c r="B743" s="3" t="s">
        <v>26</v>
      </c>
      <c r="C743" s="3" t="n">
        <v>2613</v>
      </c>
      <c r="D743" s="3" t="n">
        <v>145</v>
      </c>
      <c r="E743" s="3" t="n">
        <v>849</v>
      </c>
      <c r="F743" s="3" t="n">
        <v>2502</v>
      </c>
      <c r="G743" s="3" t="n">
        <v>5</v>
      </c>
      <c r="H743" s="3" t="n">
        <v>800291.5</v>
      </c>
      <c r="I743" s="3" t="n">
        <v>331</v>
      </c>
      <c r="J743" s="3" t="n">
        <v>242402</v>
      </c>
      <c r="K743" s="3" t="n">
        <v>41330</v>
      </c>
      <c r="L743" s="3" t="n">
        <v>423</v>
      </c>
      <c r="M743" s="4" t="n">
        <f aca="false">IFERROR(D743/C743,0)</f>
        <v>0.0554917719096824</v>
      </c>
      <c r="N743" s="4" t="n">
        <f aca="false">IFERROR(E743/C743,0)</f>
        <v>0.324913892078071</v>
      </c>
      <c r="O743" s="5" t="n">
        <f aca="false">IFERROR(F743/MAX(C743-D743,1),0)</f>
        <v>1.01377633711507</v>
      </c>
      <c r="P743" s="5" t="n">
        <f aca="false">IFERROR(F743/C743,0)</f>
        <v>0.95752009184845</v>
      </c>
      <c r="Q743" s="5" t="n">
        <f aca="false">IFERROR(H743/C743,0)</f>
        <v>306.273057787983</v>
      </c>
      <c r="R743" s="4" t="n">
        <f aca="false">IFERROR(I743/F743,0)</f>
        <v>0.132294164668265</v>
      </c>
      <c r="S743" s="4" t="n">
        <f aca="false">IFERROR(K743/J743,0)</f>
        <v>0.170501893548733</v>
      </c>
      <c r="T743" s="6" t="s">
        <v>23</v>
      </c>
    </row>
    <row r="744" customFormat="false" ht="15" hidden="false" customHeight="false" outlineLevel="0" collapsed="false">
      <c r="A744" s="3" t="s">
        <v>777</v>
      </c>
      <c r="B744" s="3" t="s">
        <v>29</v>
      </c>
      <c r="C744" s="3" t="n">
        <v>2627</v>
      </c>
      <c r="D744" s="3" t="n">
        <v>118</v>
      </c>
      <c r="E744" s="3" t="n">
        <v>975</v>
      </c>
      <c r="F744" s="3" t="n">
        <v>5074</v>
      </c>
      <c r="G744" s="3" t="n">
        <v>7</v>
      </c>
      <c r="H744" s="3" t="n">
        <v>1256214.1</v>
      </c>
      <c r="I744" s="3" t="n">
        <v>811</v>
      </c>
      <c r="J744" s="3" t="n">
        <v>442081</v>
      </c>
      <c r="K744" s="3" t="n">
        <v>69163</v>
      </c>
      <c r="L744" s="3" t="n">
        <v>0</v>
      </c>
      <c r="M744" s="4" t="n">
        <f aca="false">IFERROR(D744/C744,0)</f>
        <v>0.0449181575942139</v>
      </c>
      <c r="N744" s="4" t="n">
        <f aca="false">IFERROR(E744/C744,0)</f>
        <v>0.371145793681005</v>
      </c>
      <c r="O744" s="5" t="n">
        <f aca="false">IFERROR(F744/MAX(C744-D744,1),0)</f>
        <v>2.02231964926265</v>
      </c>
      <c r="P744" s="5" t="n">
        <f aca="false">IFERROR(F744/C744,0)</f>
        <v>1.9314807765512</v>
      </c>
      <c r="Q744" s="5" t="n">
        <f aca="false">IFERROR(H744/C744,0)</f>
        <v>478.193414541302</v>
      </c>
      <c r="R744" s="4" t="n">
        <f aca="false">IFERROR(I744/F744,0)</f>
        <v>0.159834450137958</v>
      </c>
      <c r="S744" s="4" t="n">
        <f aca="false">IFERROR(K744/J744,0)</f>
        <v>0.156448705101554</v>
      </c>
      <c r="T744" s="6" t="s">
        <v>23</v>
      </c>
    </row>
    <row r="745" customFormat="false" ht="15" hidden="false" customHeight="false" outlineLevel="0" collapsed="false">
      <c r="A745" s="3" t="s">
        <v>778</v>
      </c>
      <c r="B745" s="3" t="s">
        <v>26</v>
      </c>
      <c r="C745" s="3" t="n">
        <v>3599</v>
      </c>
      <c r="D745" s="3" t="n">
        <v>417</v>
      </c>
      <c r="E745" s="3" t="n">
        <v>1472</v>
      </c>
      <c r="F745" s="3" t="n">
        <v>10456</v>
      </c>
      <c r="G745" s="3" t="n">
        <v>11</v>
      </c>
      <c r="H745" s="3" t="n">
        <v>1755482.6</v>
      </c>
      <c r="I745" s="3" t="n">
        <v>1452</v>
      </c>
      <c r="J745" s="3" t="n">
        <v>441682</v>
      </c>
      <c r="K745" s="3" t="n">
        <v>64943</v>
      </c>
      <c r="L745" s="3" t="n">
        <v>509</v>
      </c>
      <c r="M745" s="4" t="n">
        <f aca="false">IFERROR(D745/C745,0)</f>
        <v>0.1158655181995</v>
      </c>
      <c r="N745" s="4" t="n">
        <f aca="false">IFERROR(E745/C745,0)</f>
        <v>0.409002500694637</v>
      </c>
      <c r="O745" s="5" t="n">
        <f aca="false">IFERROR(F745/MAX(C745-D745,1),0)</f>
        <v>3.28598365807668</v>
      </c>
      <c r="P745" s="5" t="n">
        <f aca="false">IFERROR(F745/C745,0)</f>
        <v>2.90525145873854</v>
      </c>
      <c r="Q745" s="5" t="n">
        <f aca="false">IFERROR(H745/C745,0)</f>
        <v>487.769547096416</v>
      </c>
      <c r="R745" s="4" t="n">
        <f aca="false">IFERROR(I745/F745,0)</f>
        <v>0.138867635807192</v>
      </c>
      <c r="S745" s="4" t="n">
        <f aca="false">IFERROR(K745/J745,0)</f>
        <v>0.147035650083091</v>
      </c>
      <c r="T745" s="6" t="s">
        <v>23</v>
      </c>
    </row>
    <row r="746" customFormat="false" ht="15" hidden="false" customHeight="false" outlineLevel="0" collapsed="false">
      <c r="A746" s="3" t="s">
        <v>779</v>
      </c>
      <c r="B746" s="3" t="s">
        <v>29</v>
      </c>
      <c r="C746" s="3" t="n">
        <v>324</v>
      </c>
      <c r="D746" s="3" t="n">
        <v>12</v>
      </c>
      <c r="E746" s="3" t="n">
        <v>70</v>
      </c>
      <c r="F746" s="3" t="n">
        <v>422</v>
      </c>
      <c r="G746" s="3" t="n">
        <v>5</v>
      </c>
      <c r="H746" s="3" t="n">
        <v>115064.1</v>
      </c>
      <c r="I746" s="3" t="n">
        <v>95</v>
      </c>
      <c r="J746" s="3" t="n">
        <v>53285</v>
      </c>
      <c r="K746" s="3" t="n">
        <v>8613</v>
      </c>
      <c r="L746" s="3" t="n">
        <v>0</v>
      </c>
      <c r="M746" s="4" t="n">
        <f aca="false">IFERROR(D746/C746,0)</f>
        <v>0.037037037037037</v>
      </c>
      <c r="N746" s="4" t="n">
        <f aca="false">IFERROR(E746/C746,0)</f>
        <v>0.216049382716049</v>
      </c>
      <c r="O746" s="5" t="n">
        <f aca="false">IFERROR(F746/MAX(C746-D746,1),0)</f>
        <v>1.3525641025641</v>
      </c>
      <c r="P746" s="5" t="n">
        <f aca="false">IFERROR(F746/C746,0)</f>
        <v>1.30246913580247</v>
      </c>
      <c r="Q746" s="5" t="n">
        <f aca="false">IFERROR(H746/C746,0)</f>
        <v>355.136111111111</v>
      </c>
      <c r="R746" s="4" t="n">
        <f aca="false">IFERROR(I746/F746,0)</f>
        <v>0.225118483412322</v>
      </c>
      <c r="S746" s="4" t="n">
        <f aca="false">IFERROR(K746/J746,0)</f>
        <v>0.161640236464296</v>
      </c>
      <c r="T746" s="6" t="s">
        <v>23</v>
      </c>
    </row>
    <row r="747" customFormat="false" ht="15" hidden="false" customHeight="false" outlineLevel="0" collapsed="false">
      <c r="A747" s="3" t="s">
        <v>780</v>
      </c>
      <c r="B747" s="3" t="s">
        <v>29</v>
      </c>
      <c r="C747" s="3" t="n">
        <v>725</v>
      </c>
      <c r="D747" s="3" t="n">
        <v>64</v>
      </c>
      <c r="E747" s="3" t="n">
        <v>290</v>
      </c>
      <c r="F747" s="3" t="n">
        <v>2199</v>
      </c>
      <c r="G747" s="3" t="n">
        <v>10</v>
      </c>
      <c r="H747" s="3" t="n">
        <v>496251.4</v>
      </c>
      <c r="I747" s="3" t="n">
        <v>450</v>
      </c>
      <c r="J747" s="3" t="n">
        <v>87152</v>
      </c>
      <c r="K747" s="3" t="n">
        <v>23347</v>
      </c>
      <c r="L747" s="3" t="n">
        <v>0</v>
      </c>
      <c r="M747" s="4" t="n">
        <f aca="false">IFERROR(D747/C747,0)</f>
        <v>0.0882758620689655</v>
      </c>
      <c r="N747" s="4" t="n">
        <f aca="false">IFERROR(E747/C747,0)</f>
        <v>0.4</v>
      </c>
      <c r="O747" s="5" t="n">
        <f aca="false">IFERROR(F747/MAX(C747-D747,1),0)</f>
        <v>3.3267776096823</v>
      </c>
      <c r="P747" s="5" t="n">
        <f aca="false">IFERROR(F747/C747,0)</f>
        <v>3.03310344827586</v>
      </c>
      <c r="Q747" s="5" t="n">
        <f aca="false">IFERROR(H747/C747,0)</f>
        <v>684.484689655173</v>
      </c>
      <c r="R747" s="4" t="n">
        <f aca="false">IFERROR(I747/F747,0)</f>
        <v>0.204638472032742</v>
      </c>
      <c r="S747" s="4" t="n">
        <f aca="false">IFERROR(K747/J747,0)</f>
        <v>0.267888287130531</v>
      </c>
      <c r="T747" s="6" t="s">
        <v>23</v>
      </c>
    </row>
    <row r="748" customFormat="false" ht="15" hidden="false" customHeight="false" outlineLevel="0" collapsed="false">
      <c r="A748" s="3" t="s">
        <v>781</v>
      </c>
      <c r="B748" s="3" t="s">
        <v>29</v>
      </c>
      <c r="C748" s="3" t="n">
        <v>3361</v>
      </c>
      <c r="D748" s="3" t="n">
        <v>253</v>
      </c>
      <c r="E748" s="3" t="n">
        <v>1407</v>
      </c>
      <c r="F748" s="3" t="n">
        <v>5280</v>
      </c>
      <c r="G748" s="3" t="n">
        <v>3</v>
      </c>
      <c r="H748" s="3" t="n">
        <v>1006691</v>
      </c>
      <c r="I748" s="3" t="n">
        <v>570</v>
      </c>
      <c r="J748" s="3" t="n">
        <v>594869</v>
      </c>
      <c r="K748" s="3" t="n">
        <v>142831</v>
      </c>
      <c r="L748" s="3" t="n">
        <v>0</v>
      </c>
      <c r="M748" s="4" t="n">
        <f aca="false">IFERROR(D748/C748,0)</f>
        <v>0.0752752157096102</v>
      </c>
      <c r="N748" s="4" t="n">
        <f aca="false">IFERROR(E748/C748,0)</f>
        <v>0.418625409104433</v>
      </c>
      <c r="O748" s="5" t="n">
        <f aca="false">IFERROR(F748/MAX(C748-D748,1),0)</f>
        <v>1.6988416988417</v>
      </c>
      <c r="P748" s="5" t="n">
        <f aca="false">IFERROR(F748/C748,0)</f>
        <v>1.57096102350491</v>
      </c>
      <c r="Q748" s="5" t="n">
        <f aca="false">IFERROR(H748/C748,0)</f>
        <v>299.521273430527</v>
      </c>
      <c r="R748" s="4" t="n">
        <f aca="false">IFERROR(I748/F748,0)</f>
        <v>0.107954545454545</v>
      </c>
      <c r="S748" s="4" t="n">
        <f aca="false">IFERROR(K748/J748,0)</f>
        <v>0.240104964286255</v>
      </c>
      <c r="T748" s="6" t="s">
        <v>23</v>
      </c>
    </row>
    <row r="749" customFormat="false" ht="15" hidden="false" customHeight="false" outlineLevel="0" collapsed="false">
      <c r="A749" s="3" t="s">
        <v>782</v>
      </c>
      <c r="B749" s="3" t="s">
        <v>26</v>
      </c>
      <c r="C749" s="3" t="n">
        <v>3256</v>
      </c>
      <c r="D749" s="3" t="n">
        <v>127</v>
      </c>
      <c r="E749" s="3" t="n">
        <v>624</v>
      </c>
      <c r="F749" s="3" t="n">
        <v>11291</v>
      </c>
      <c r="G749" s="3" t="n">
        <v>15</v>
      </c>
      <c r="H749" s="3" t="n">
        <v>924837.5</v>
      </c>
      <c r="I749" s="3" t="n">
        <v>1454</v>
      </c>
      <c r="J749" s="3" t="n">
        <v>516736</v>
      </c>
      <c r="K749" s="3" t="n">
        <v>63056</v>
      </c>
      <c r="L749" s="3" t="n">
        <v>1100</v>
      </c>
      <c r="M749" s="4" t="n">
        <f aca="false">IFERROR(D749/C749,0)</f>
        <v>0.039004914004914</v>
      </c>
      <c r="N749" s="4" t="n">
        <f aca="false">IFERROR(E749/C749,0)</f>
        <v>0.191646191646192</v>
      </c>
      <c r="O749" s="5" t="n">
        <f aca="false">IFERROR(F749/MAX(C749-D749,1),0)</f>
        <v>3.60850111856823</v>
      </c>
      <c r="P749" s="5" t="n">
        <f aca="false">IFERROR(F749/C749,0)</f>
        <v>3.46775184275184</v>
      </c>
      <c r="Q749" s="5" t="n">
        <f aca="false">IFERROR(H749/C749,0)</f>
        <v>284.041001228501</v>
      </c>
      <c r="R749" s="4" t="n">
        <f aca="false">IFERROR(I749/F749,0)</f>
        <v>0.128775130635019</v>
      </c>
      <c r="S749" s="4" t="n">
        <f aca="false">IFERROR(K749/J749,0)</f>
        <v>0.122027495665098</v>
      </c>
      <c r="T749" s="6" t="s">
        <v>23</v>
      </c>
    </row>
    <row r="750" customFormat="false" ht="15" hidden="false" customHeight="false" outlineLevel="0" collapsed="false">
      <c r="A750" s="3" t="s">
        <v>783</v>
      </c>
      <c r="B750" s="3" t="s">
        <v>26</v>
      </c>
      <c r="C750" s="3" t="n">
        <v>622</v>
      </c>
      <c r="D750" s="3" t="n">
        <v>70</v>
      </c>
      <c r="E750" s="3" t="n">
        <v>285</v>
      </c>
      <c r="F750" s="3" t="n">
        <v>1983</v>
      </c>
      <c r="G750" s="3" t="n">
        <v>13</v>
      </c>
      <c r="H750" s="3" t="n">
        <v>368912.6</v>
      </c>
      <c r="I750" s="3" t="n">
        <v>451</v>
      </c>
      <c r="J750" s="3" t="n">
        <v>113018</v>
      </c>
      <c r="K750" s="3" t="n">
        <v>24748</v>
      </c>
      <c r="L750" s="3" t="n">
        <v>209</v>
      </c>
      <c r="M750" s="4" t="n">
        <f aca="false">IFERROR(D750/C750,0)</f>
        <v>0.112540192926045</v>
      </c>
      <c r="N750" s="4" t="n">
        <f aca="false">IFERROR(E750/C750,0)</f>
        <v>0.458199356913183</v>
      </c>
      <c r="O750" s="5" t="n">
        <f aca="false">IFERROR(F750/MAX(C750-D750,1),0)</f>
        <v>3.59239130434783</v>
      </c>
      <c r="P750" s="5" t="n">
        <f aca="false">IFERROR(F750/C750,0)</f>
        <v>3.18810289389068</v>
      </c>
      <c r="Q750" s="5" t="n">
        <f aca="false">IFERROR(H750/C750,0)</f>
        <v>593.107073954984</v>
      </c>
      <c r="R750" s="4" t="n">
        <f aca="false">IFERROR(I750/F750,0)</f>
        <v>0.227433182047403</v>
      </c>
      <c r="S750" s="4" t="n">
        <f aca="false">IFERROR(K750/J750,0)</f>
        <v>0.218973968748341</v>
      </c>
      <c r="T750" s="6" t="s">
        <v>23</v>
      </c>
    </row>
    <row r="751" customFormat="false" ht="15" hidden="false" customHeight="false" outlineLevel="0" collapsed="false">
      <c r="A751" s="9" t="s">
        <v>784</v>
      </c>
      <c r="B751" s="9" t="s">
        <v>26</v>
      </c>
      <c r="C751" s="9" t="n">
        <v>2061</v>
      </c>
      <c r="D751" s="9" t="n">
        <v>558</v>
      </c>
      <c r="E751" s="9" t="n">
        <v>1254</v>
      </c>
      <c r="F751" s="9" t="n">
        <v>10247</v>
      </c>
      <c r="G751" s="9" t="n">
        <v>12</v>
      </c>
      <c r="H751" s="9" t="n">
        <v>1061058.5</v>
      </c>
      <c r="I751" s="9" t="n">
        <v>5579</v>
      </c>
      <c r="J751" s="9" t="n">
        <v>326714</v>
      </c>
      <c r="K751" s="9" t="n">
        <v>256077</v>
      </c>
      <c r="L751" s="9" t="n">
        <v>288</v>
      </c>
      <c r="M751" s="10" t="n">
        <f aca="false">IFERROR(D751/C751,0)</f>
        <v>0.270742358078603</v>
      </c>
      <c r="N751" s="10" t="n">
        <f aca="false">IFERROR(E751/C751,0)</f>
        <v>0.60844250363901</v>
      </c>
      <c r="O751" s="11" t="n">
        <f aca="false">IFERROR(F751/MAX(C751-D751,1),0)</f>
        <v>6.81769793745842</v>
      </c>
      <c r="P751" s="11" t="n">
        <f aca="false">IFERROR(F751/C751,0)</f>
        <v>4.9718583212033</v>
      </c>
      <c r="Q751" s="11" t="n">
        <f aca="false">IFERROR(H751/C751,0)</f>
        <v>514.827025715672</v>
      </c>
      <c r="R751" s="10" t="n">
        <f aca="false">IFERROR(I751/F751,0)</f>
        <v>0.544452034741876</v>
      </c>
      <c r="S751" s="10" t="n">
        <f aca="false">IFERROR(K751/J751,0)</f>
        <v>0.783795613288687</v>
      </c>
      <c r="T751" s="12" t="s">
        <v>30</v>
      </c>
    </row>
    <row r="752" customFormat="false" ht="15" hidden="false" customHeight="false" outlineLevel="0" collapsed="false">
      <c r="A752" s="3" t="s">
        <v>785</v>
      </c>
      <c r="B752" s="3" t="s">
        <v>29</v>
      </c>
      <c r="C752" s="3" t="n">
        <v>3337</v>
      </c>
      <c r="D752" s="3" t="n">
        <v>346</v>
      </c>
      <c r="E752" s="3" t="n">
        <v>992</v>
      </c>
      <c r="F752" s="3" t="n">
        <v>7323</v>
      </c>
      <c r="G752" s="3" t="n">
        <v>10</v>
      </c>
      <c r="H752" s="3" t="n">
        <v>778772.6</v>
      </c>
      <c r="I752" s="3" t="n">
        <v>1734</v>
      </c>
      <c r="J752" s="3" t="n">
        <v>632071</v>
      </c>
      <c r="K752" s="3" t="n">
        <v>82571</v>
      </c>
      <c r="L752" s="3" t="n">
        <v>0</v>
      </c>
      <c r="M752" s="4" t="n">
        <f aca="false">IFERROR(D752/C752,0)</f>
        <v>0.103685945459994</v>
      </c>
      <c r="N752" s="4" t="n">
        <f aca="false">IFERROR(E752/C752,0)</f>
        <v>0.29727299970033</v>
      </c>
      <c r="O752" s="5" t="n">
        <f aca="false">IFERROR(F752/MAX(C752-D752,1),0)</f>
        <v>2.44834503510532</v>
      </c>
      <c r="P752" s="5" t="n">
        <f aca="false">IFERROR(F752/C752,0)</f>
        <v>2.19448606532814</v>
      </c>
      <c r="Q752" s="5" t="n">
        <f aca="false">IFERROR(H752/C752,0)</f>
        <v>233.375067425832</v>
      </c>
      <c r="R752" s="4" t="n">
        <f aca="false">IFERROR(I752/F752,0)</f>
        <v>0.236788201556739</v>
      </c>
      <c r="S752" s="4" t="n">
        <f aca="false">IFERROR(K752/J752,0)</f>
        <v>0.130635640616323</v>
      </c>
      <c r="T752" s="6" t="s">
        <v>23</v>
      </c>
    </row>
    <row r="753" customFormat="false" ht="15" hidden="false" customHeight="false" outlineLevel="0" collapsed="false">
      <c r="A753" s="3" t="s">
        <v>786</v>
      </c>
      <c r="B753" s="3" t="s">
        <v>26</v>
      </c>
      <c r="C753" s="3" t="n">
        <v>3184</v>
      </c>
      <c r="D753" s="3" t="n">
        <v>308</v>
      </c>
      <c r="E753" s="3" t="n">
        <v>1299</v>
      </c>
      <c r="F753" s="3" t="n">
        <v>8764</v>
      </c>
      <c r="G753" s="3" t="n">
        <v>11</v>
      </c>
      <c r="H753" s="3" t="n">
        <v>1795120.5</v>
      </c>
      <c r="I753" s="3" t="n">
        <v>2570</v>
      </c>
      <c r="J753" s="3" t="n">
        <v>459027</v>
      </c>
      <c r="K753" s="3" t="n">
        <v>76775</v>
      </c>
      <c r="L753" s="3" t="n">
        <v>1225</v>
      </c>
      <c r="M753" s="4" t="n">
        <f aca="false">IFERROR(D753/C753,0)</f>
        <v>0.0967336683417086</v>
      </c>
      <c r="N753" s="4" t="n">
        <f aca="false">IFERROR(E753/C753,0)</f>
        <v>0.407977386934673</v>
      </c>
      <c r="O753" s="5" t="n">
        <f aca="false">IFERROR(F753/MAX(C753-D753,1),0)</f>
        <v>3.04728789986092</v>
      </c>
      <c r="P753" s="5" t="n">
        <f aca="false">IFERROR(F753/C753,0)</f>
        <v>2.75251256281407</v>
      </c>
      <c r="Q753" s="5" t="n">
        <f aca="false">IFERROR(H753/C753,0)</f>
        <v>563.794126884422</v>
      </c>
      <c r="R753" s="4" t="n">
        <f aca="false">IFERROR(I753/F753,0)</f>
        <v>0.293245093564582</v>
      </c>
      <c r="S753" s="4" t="n">
        <f aca="false">IFERROR(K753/J753,0)</f>
        <v>0.167255956621288</v>
      </c>
      <c r="T753" s="6" t="s">
        <v>23</v>
      </c>
    </row>
    <row r="754" customFormat="false" ht="15" hidden="false" customHeight="false" outlineLevel="0" collapsed="false">
      <c r="A754" s="3" t="s">
        <v>787</v>
      </c>
      <c r="B754" s="3" t="s">
        <v>26</v>
      </c>
      <c r="C754" s="3" t="n">
        <v>3964</v>
      </c>
      <c r="D754" s="3" t="n">
        <v>319</v>
      </c>
      <c r="E754" s="3" t="n">
        <v>1070</v>
      </c>
      <c r="F754" s="3" t="n">
        <v>9077</v>
      </c>
      <c r="G754" s="3" t="n">
        <v>3</v>
      </c>
      <c r="H754" s="3" t="n">
        <v>2127582.3</v>
      </c>
      <c r="I754" s="3" t="n">
        <v>1752</v>
      </c>
      <c r="J754" s="3" t="n">
        <v>748739</v>
      </c>
      <c r="K754" s="3" t="n">
        <v>118561</v>
      </c>
      <c r="L754" s="3" t="n">
        <v>816</v>
      </c>
      <c r="M754" s="4" t="n">
        <f aca="false">IFERROR(D754/C754,0)</f>
        <v>0.0804742684157417</v>
      </c>
      <c r="N754" s="4" t="n">
        <f aca="false">IFERROR(E754/C754,0)</f>
        <v>0.269929364278507</v>
      </c>
      <c r="O754" s="5" t="n">
        <f aca="false">IFERROR(F754/MAX(C754-D754,1),0)</f>
        <v>2.49026063100137</v>
      </c>
      <c r="P754" s="5" t="n">
        <f aca="false">IFERROR(F754/C754,0)</f>
        <v>2.28985872855701</v>
      </c>
      <c r="Q754" s="5" t="n">
        <f aca="false">IFERROR(H754/C754,0)</f>
        <v>536.726109989909</v>
      </c>
      <c r="R754" s="4" t="n">
        <f aca="false">IFERROR(I754/F754,0)</f>
        <v>0.193015313429547</v>
      </c>
      <c r="S754" s="4" t="n">
        <f aca="false">IFERROR(K754/J754,0)</f>
        <v>0.1583475683783</v>
      </c>
      <c r="T754" s="6" t="s">
        <v>23</v>
      </c>
    </row>
    <row r="755" customFormat="false" ht="15" hidden="false" customHeight="false" outlineLevel="0" collapsed="false">
      <c r="A755" s="3" t="s">
        <v>788</v>
      </c>
      <c r="B755" s="3" t="s">
        <v>22</v>
      </c>
      <c r="C755" s="3" t="n">
        <v>151</v>
      </c>
      <c r="D755" s="3" t="n">
        <v>10</v>
      </c>
      <c r="E755" s="3" t="n">
        <v>62</v>
      </c>
      <c r="F755" s="3" t="n">
        <v>354</v>
      </c>
      <c r="G755" s="3" t="n">
        <v>12</v>
      </c>
      <c r="H755" s="3" t="n">
        <v>94205</v>
      </c>
      <c r="I755" s="3" t="n">
        <v>58</v>
      </c>
      <c r="J755" s="3" t="n">
        <v>18385</v>
      </c>
      <c r="K755" s="3" t="n">
        <v>1819</v>
      </c>
      <c r="L755" s="3" t="n">
        <v>18</v>
      </c>
      <c r="M755" s="4" t="n">
        <f aca="false">IFERROR(D755/C755,0)</f>
        <v>0.0662251655629139</v>
      </c>
      <c r="N755" s="4" t="n">
        <f aca="false">IFERROR(E755/C755,0)</f>
        <v>0.410596026490066</v>
      </c>
      <c r="O755" s="5" t="n">
        <f aca="false">IFERROR(F755/MAX(C755-D755,1),0)</f>
        <v>2.51063829787234</v>
      </c>
      <c r="P755" s="5" t="n">
        <f aca="false">IFERROR(F755/C755,0)</f>
        <v>2.34437086092715</v>
      </c>
      <c r="Q755" s="5" t="n">
        <f aca="false">IFERROR(H755/C755,0)</f>
        <v>623.87417218543</v>
      </c>
      <c r="R755" s="4" t="n">
        <f aca="false">IFERROR(I755/F755,0)</f>
        <v>0.163841807909605</v>
      </c>
      <c r="S755" s="4" t="n">
        <f aca="false">IFERROR(K755/J755,0)</f>
        <v>0.0989393527332064</v>
      </c>
      <c r="T755" s="6" t="s">
        <v>23</v>
      </c>
    </row>
    <row r="756" customFormat="false" ht="15" hidden="false" customHeight="false" outlineLevel="0" collapsed="false">
      <c r="A756" s="9" t="s">
        <v>789</v>
      </c>
      <c r="B756" s="9" t="s">
        <v>22</v>
      </c>
      <c r="C756" s="9" t="n">
        <v>1107</v>
      </c>
      <c r="D756" s="9" t="n">
        <v>475</v>
      </c>
      <c r="E756" s="9" t="n">
        <v>755</v>
      </c>
      <c r="F756" s="9" t="n">
        <v>4842</v>
      </c>
      <c r="G756" s="9" t="n">
        <v>16</v>
      </c>
      <c r="H756" s="9" t="n">
        <v>920369</v>
      </c>
      <c r="I756" s="9" t="n">
        <v>2975</v>
      </c>
      <c r="J756" s="9" t="n">
        <v>124136</v>
      </c>
      <c r="K756" s="9" t="n">
        <v>66004</v>
      </c>
      <c r="L756" s="9" t="n">
        <v>514</v>
      </c>
      <c r="M756" s="10" t="n">
        <f aca="false">IFERROR(D756/C756,0)</f>
        <v>0.429087624209575</v>
      </c>
      <c r="N756" s="10" t="n">
        <f aca="false">IFERROR(E756/C756,0)</f>
        <v>0.682023486901536</v>
      </c>
      <c r="O756" s="11" t="n">
        <f aca="false">IFERROR(F756/MAX(C756-D756,1),0)</f>
        <v>7.66139240506329</v>
      </c>
      <c r="P756" s="11" t="n">
        <f aca="false">IFERROR(F756/C756,0)</f>
        <v>4.3739837398374</v>
      </c>
      <c r="Q756" s="11" t="n">
        <f aca="false">IFERROR(H756/C756,0)</f>
        <v>831.408310749774</v>
      </c>
      <c r="R756" s="10" t="n">
        <f aca="false">IFERROR(I756/F756,0)</f>
        <v>0.614415530772408</v>
      </c>
      <c r="S756" s="10" t="n">
        <f aca="false">IFERROR(K756/J756,0)</f>
        <v>0.531707159889154</v>
      </c>
      <c r="T756" s="12" t="s">
        <v>30</v>
      </c>
    </row>
    <row r="757" customFormat="false" ht="15" hidden="false" customHeight="false" outlineLevel="0" collapsed="false">
      <c r="A757" s="3" t="s">
        <v>790</v>
      </c>
      <c r="B757" s="3" t="s">
        <v>22</v>
      </c>
      <c r="C757" s="3" t="n">
        <v>3222</v>
      </c>
      <c r="D757" s="3" t="n">
        <v>267</v>
      </c>
      <c r="E757" s="3" t="n">
        <v>1057</v>
      </c>
      <c r="F757" s="3" t="n">
        <v>7763</v>
      </c>
      <c r="G757" s="3" t="n">
        <v>8</v>
      </c>
      <c r="H757" s="3" t="n">
        <v>391103.8</v>
      </c>
      <c r="I757" s="3" t="n">
        <v>1539</v>
      </c>
      <c r="J757" s="3" t="n">
        <v>421460</v>
      </c>
      <c r="K757" s="3" t="n">
        <v>34945</v>
      </c>
      <c r="L757" s="3" t="n">
        <v>1167</v>
      </c>
      <c r="M757" s="4" t="n">
        <f aca="false">IFERROR(D757/C757,0)</f>
        <v>0.0828677839851024</v>
      </c>
      <c r="N757" s="4" t="n">
        <f aca="false">IFERROR(E757/C757,0)</f>
        <v>0.328057107386716</v>
      </c>
      <c r="O757" s="5" t="n">
        <f aca="false">IFERROR(F757/MAX(C757-D757,1),0)</f>
        <v>2.62707275803723</v>
      </c>
      <c r="P757" s="5" t="n">
        <f aca="false">IFERROR(F757/C757,0)</f>
        <v>2.40937306021105</v>
      </c>
      <c r="Q757" s="5" t="n">
        <f aca="false">IFERROR(H757/C757,0)</f>
        <v>121.385412787089</v>
      </c>
      <c r="R757" s="4" t="n">
        <f aca="false">IFERROR(I757/F757,0)</f>
        <v>0.198248099961355</v>
      </c>
      <c r="S757" s="4" t="n">
        <f aca="false">IFERROR(K757/J757,0)</f>
        <v>0.082914155554501</v>
      </c>
      <c r="T757" s="6" t="s">
        <v>23</v>
      </c>
    </row>
    <row r="758" customFormat="false" ht="15" hidden="false" customHeight="false" outlineLevel="0" collapsed="false">
      <c r="A758" s="3" t="s">
        <v>791</v>
      </c>
      <c r="B758" s="3" t="s">
        <v>29</v>
      </c>
      <c r="C758" s="3" t="n">
        <v>328</v>
      </c>
      <c r="D758" s="3" t="n">
        <v>46</v>
      </c>
      <c r="E758" s="3" t="n">
        <v>135</v>
      </c>
      <c r="F758" s="3" t="n">
        <v>693</v>
      </c>
      <c r="G758" s="3" t="n">
        <v>8</v>
      </c>
      <c r="H758" s="3" t="n">
        <v>105629.8</v>
      </c>
      <c r="I758" s="3" t="n">
        <v>87</v>
      </c>
      <c r="J758" s="3" t="n">
        <v>38455</v>
      </c>
      <c r="K758" s="3" t="n">
        <v>7856</v>
      </c>
      <c r="L758" s="3" t="n">
        <v>0</v>
      </c>
      <c r="M758" s="4" t="n">
        <f aca="false">IFERROR(D758/C758,0)</f>
        <v>0.140243902439024</v>
      </c>
      <c r="N758" s="4" t="n">
        <f aca="false">IFERROR(E758/C758,0)</f>
        <v>0.411585365853659</v>
      </c>
      <c r="O758" s="5" t="n">
        <f aca="false">IFERROR(F758/MAX(C758-D758,1),0)</f>
        <v>2.45744680851064</v>
      </c>
      <c r="P758" s="5" t="n">
        <f aca="false">IFERROR(F758/C758,0)</f>
        <v>2.11280487804878</v>
      </c>
      <c r="Q758" s="5" t="n">
        <f aca="false">IFERROR(H758/C758,0)</f>
        <v>322.042073170732</v>
      </c>
      <c r="R758" s="4" t="n">
        <f aca="false">IFERROR(I758/F758,0)</f>
        <v>0.125541125541126</v>
      </c>
      <c r="S758" s="4" t="n">
        <f aca="false">IFERROR(K758/J758,0)</f>
        <v>0.204290729424002</v>
      </c>
      <c r="T758" s="6" t="s">
        <v>23</v>
      </c>
    </row>
    <row r="759" customFormat="false" ht="15" hidden="false" customHeight="false" outlineLevel="0" collapsed="false">
      <c r="A759" s="3" t="s">
        <v>792</v>
      </c>
      <c r="B759" s="3" t="s">
        <v>29</v>
      </c>
      <c r="C759" s="3" t="n">
        <v>3152</v>
      </c>
      <c r="D759" s="3" t="n">
        <v>322</v>
      </c>
      <c r="E759" s="3" t="n">
        <v>850</v>
      </c>
      <c r="F759" s="3" t="n">
        <v>5398</v>
      </c>
      <c r="G759" s="3" t="n">
        <v>4</v>
      </c>
      <c r="H759" s="3" t="n">
        <v>1265290.6</v>
      </c>
      <c r="I759" s="3" t="n">
        <v>1057</v>
      </c>
      <c r="J759" s="3" t="n">
        <v>470864</v>
      </c>
      <c r="K759" s="3" t="n">
        <v>123419</v>
      </c>
      <c r="L759" s="3" t="n">
        <v>0</v>
      </c>
      <c r="M759" s="4" t="n">
        <f aca="false">IFERROR(D759/C759,0)</f>
        <v>0.102157360406091</v>
      </c>
      <c r="N759" s="4" t="n">
        <f aca="false">IFERROR(E759/C759,0)</f>
        <v>0.269670050761421</v>
      </c>
      <c r="O759" s="5" t="n">
        <f aca="false">IFERROR(F759/MAX(C759-D759,1),0)</f>
        <v>1.90742049469965</v>
      </c>
      <c r="P759" s="5" t="n">
        <f aca="false">IFERROR(F759/C759,0)</f>
        <v>1.71256345177665</v>
      </c>
      <c r="Q759" s="5" t="n">
        <f aca="false">IFERROR(H759/C759,0)</f>
        <v>401.424682741117</v>
      </c>
      <c r="R759" s="4" t="n">
        <f aca="false">IFERROR(I759/F759,0)</f>
        <v>0.195813264171916</v>
      </c>
      <c r="S759" s="4" t="n">
        <f aca="false">IFERROR(K759/J759,0)</f>
        <v>0.262111777498386</v>
      </c>
      <c r="T759" s="6" t="s">
        <v>23</v>
      </c>
    </row>
    <row r="760" customFormat="false" ht="15" hidden="false" customHeight="false" outlineLevel="0" collapsed="false">
      <c r="A760" s="9" t="s">
        <v>793</v>
      </c>
      <c r="B760" s="9" t="s">
        <v>26</v>
      </c>
      <c r="C760" s="9" t="n">
        <v>2810</v>
      </c>
      <c r="D760" s="9" t="n">
        <v>516</v>
      </c>
      <c r="E760" s="9" t="n">
        <v>1021</v>
      </c>
      <c r="F760" s="9" t="n">
        <v>15948</v>
      </c>
      <c r="G760" s="9" t="n">
        <v>20</v>
      </c>
      <c r="H760" s="9" t="n">
        <v>1735584.3</v>
      </c>
      <c r="I760" s="9" t="n">
        <v>7947</v>
      </c>
      <c r="J760" s="9" t="n">
        <v>427738</v>
      </c>
      <c r="K760" s="9" t="n">
        <v>316122</v>
      </c>
      <c r="L760" s="9" t="n">
        <v>438</v>
      </c>
      <c r="M760" s="10" t="n">
        <f aca="false">IFERROR(D760/C760,0)</f>
        <v>0.183629893238434</v>
      </c>
      <c r="N760" s="10" t="n">
        <f aca="false">IFERROR(E760/C760,0)</f>
        <v>0.363345195729537</v>
      </c>
      <c r="O760" s="11" t="n">
        <f aca="false">IFERROR(F760/MAX(C760-D760,1),0)</f>
        <v>6.95204882301657</v>
      </c>
      <c r="P760" s="11" t="n">
        <f aca="false">IFERROR(F760/C760,0)</f>
        <v>5.67544483985765</v>
      </c>
      <c r="Q760" s="11" t="n">
        <f aca="false">IFERROR(H760/C760,0)</f>
        <v>617.645658362989</v>
      </c>
      <c r="R760" s="10" t="n">
        <f aca="false">IFERROR(I760/F760,0)</f>
        <v>0.498306997742664</v>
      </c>
      <c r="S760" s="10" t="n">
        <f aca="false">IFERROR(K760/J760,0)</f>
        <v>0.739055216043466</v>
      </c>
      <c r="T760" s="12" t="s">
        <v>30</v>
      </c>
    </row>
    <row r="761" customFormat="false" ht="15" hidden="false" customHeight="false" outlineLevel="0" collapsed="false">
      <c r="A761" s="3" t="s">
        <v>794</v>
      </c>
      <c r="B761" s="3" t="s">
        <v>29</v>
      </c>
      <c r="C761" s="3" t="n">
        <v>327</v>
      </c>
      <c r="D761" s="3" t="n">
        <v>38</v>
      </c>
      <c r="E761" s="3" t="n">
        <v>112</v>
      </c>
      <c r="F761" s="3" t="n">
        <v>1215</v>
      </c>
      <c r="G761" s="3" t="n">
        <v>15</v>
      </c>
      <c r="H761" s="3" t="n">
        <v>231442.7</v>
      </c>
      <c r="I761" s="3" t="n">
        <v>320</v>
      </c>
      <c r="J761" s="3" t="n">
        <v>42385</v>
      </c>
      <c r="K761" s="3" t="n">
        <v>11059</v>
      </c>
      <c r="L761" s="3" t="n">
        <v>0</v>
      </c>
      <c r="M761" s="4" t="n">
        <f aca="false">IFERROR(D761/C761,0)</f>
        <v>0.116207951070336</v>
      </c>
      <c r="N761" s="4" t="n">
        <f aca="false">IFERROR(E761/C761,0)</f>
        <v>0.342507645259939</v>
      </c>
      <c r="O761" s="5" t="n">
        <f aca="false">IFERROR(F761/MAX(C761-D761,1),0)</f>
        <v>4.20415224913495</v>
      </c>
      <c r="P761" s="5" t="n">
        <f aca="false">IFERROR(F761/C761,0)</f>
        <v>3.71559633027523</v>
      </c>
      <c r="Q761" s="5" t="n">
        <f aca="false">IFERROR(H761/C761,0)</f>
        <v>707.775840978593</v>
      </c>
      <c r="R761" s="4" t="n">
        <f aca="false">IFERROR(I761/F761,0)</f>
        <v>0.263374485596708</v>
      </c>
      <c r="S761" s="4" t="n">
        <f aca="false">IFERROR(K761/J761,0)</f>
        <v>0.260917777515631</v>
      </c>
      <c r="T761" s="6" t="s">
        <v>23</v>
      </c>
    </row>
    <row r="762" customFormat="false" ht="15" hidden="false" customHeight="false" outlineLevel="0" collapsed="false">
      <c r="A762" s="3" t="s">
        <v>795</v>
      </c>
      <c r="B762" s="3" t="s">
        <v>22</v>
      </c>
      <c r="C762" s="3" t="n">
        <v>3500</v>
      </c>
      <c r="D762" s="3" t="n">
        <v>239</v>
      </c>
      <c r="E762" s="3" t="n">
        <v>1222</v>
      </c>
      <c r="F762" s="3" t="n">
        <v>8300</v>
      </c>
      <c r="G762" s="3" t="n">
        <v>7</v>
      </c>
      <c r="H762" s="3" t="n">
        <v>1410831.1</v>
      </c>
      <c r="I762" s="3" t="n">
        <v>1000</v>
      </c>
      <c r="J762" s="3" t="n">
        <v>267350</v>
      </c>
      <c r="K762" s="3" t="n">
        <v>34752</v>
      </c>
      <c r="L762" s="3" t="n">
        <v>826</v>
      </c>
      <c r="M762" s="4" t="n">
        <f aca="false">IFERROR(D762/C762,0)</f>
        <v>0.0682857142857143</v>
      </c>
      <c r="N762" s="4" t="n">
        <f aca="false">IFERROR(E762/C762,0)</f>
        <v>0.349142857142857</v>
      </c>
      <c r="O762" s="5" t="n">
        <f aca="false">IFERROR(F762/MAX(C762-D762,1),0)</f>
        <v>2.54523152407237</v>
      </c>
      <c r="P762" s="5" t="n">
        <f aca="false">IFERROR(F762/C762,0)</f>
        <v>2.37142857142857</v>
      </c>
      <c r="Q762" s="5" t="n">
        <f aca="false">IFERROR(H762/C762,0)</f>
        <v>403.0946</v>
      </c>
      <c r="R762" s="4" t="n">
        <f aca="false">IFERROR(I762/F762,0)</f>
        <v>0.120481927710843</v>
      </c>
      <c r="S762" s="4" t="n">
        <f aca="false">IFERROR(K762/J762,0)</f>
        <v>0.129986908546849</v>
      </c>
      <c r="T762" s="6" t="s">
        <v>23</v>
      </c>
    </row>
    <row r="763" customFormat="false" ht="15" hidden="false" customHeight="false" outlineLevel="0" collapsed="false">
      <c r="A763" s="3" t="s">
        <v>796</v>
      </c>
      <c r="B763" s="3" t="s">
        <v>26</v>
      </c>
      <c r="C763" s="3" t="n">
        <v>2195</v>
      </c>
      <c r="D763" s="3" t="n">
        <v>280</v>
      </c>
      <c r="E763" s="3" t="n">
        <v>687</v>
      </c>
      <c r="F763" s="3" t="n">
        <v>8158</v>
      </c>
      <c r="G763" s="3" t="n">
        <v>17</v>
      </c>
      <c r="H763" s="3" t="n">
        <v>1027827.2</v>
      </c>
      <c r="I763" s="3" t="n">
        <v>1086</v>
      </c>
      <c r="J763" s="3" t="n">
        <v>252255</v>
      </c>
      <c r="K763" s="3" t="n">
        <v>48715</v>
      </c>
      <c r="L763" s="3" t="n">
        <v>393</v>
      </c>
      <c r="M763" s="4" t="n">
        <f aca="false">IFERROR(D763/C763,0)</f>
        <v>0.127562642369021</v>
      </c>
      <c r="N763" s="4" t="n">
        <f aca="false">IFERROR(E763/C763,0)</f>
        <v>0.312984054669704</v>
      </c>
      <c r="O763" s="5" t="n">
        <f aca="false">IFERROR(F763/MAX(C763-D763,1),0)</f>
        <v>4.26005221932115</v>
      </c>
      <c r="P763" s="5" t="n">
        <f aca="false">IFERROR(F763/C763,0)</f>
        <v>3.71662870159453</v>
      </c>
      <c r="Q763" s="5" t="n">
        <f aca="false">IFERROR(H763/C763,0)</f>
        <v>468.25840546697</v>
      </c>
      <c r="R763" s="4" t="n">
        <f aca="false">IFERROR(I763/F763,0)</f>
        <v>0.133120862956607</v>
      </c>
      <c r="S763" s="4" t="n">
        <f aca="false">IFERROR(K763/J763,0)</f>
        <v>0.193118074963826</v>
      </c>
      <c r="T763" s="6" t="s">
        <v>23</v>
      </c>
    </row>
    <row r="764" customFormat="false" ht="15" hidden="false" customHeight="false" outlineLevel="0" collapsed="false">
      <c r="A764" s="9" t="s">
        <v>797</v>
      </c>
      <c r="B764" s="9" t="s">
        <v>22</v>
      </c>
      <c r="C764" s="9" t="n">
        <v>2457</v>
      </c>
      <c r="D764" s="9" t="n">
        <v>694</v>
      </c>
      <c r="E764" s="9" t="n">
        <v>1106</v>
      </c>
      <c r="F764" s="9" t="n">
        <v>13421</v>
      </c>
      <c r="G764" s="9" t="n">
        <v>19</v>
      </c>
      <c r="H764" s="9" t="n">
        <v>1936943.1</v>
      </c>
      <c r="I764" s="9" t="n">
        <v>7884</v>
      </c>
      <c r="J764" s="9" t="n">
        <v>300369</v>
      </c>
      <c r="K764" s="9" t="n">
        <v>240853</v>
      </c>
      <c r="L764" s="9" t="n">
        <v>518</v>
      </c>
      <c r="M764" s="10" t="n">
        <f aca="false">IFERROR(D764/C764,0)</f>
        <v>0.282458282458283</v>
      </c>
      <c r="N764" s="10" t="n">
        <f aca="false">IFERROR(E764/C764,0)</f>
        <v>0.45014245014245</v>
      </c>
      <c r="O764" s="11" t="n">
        <f aca="false">IFERROR(F764/MAX(C764-D764,1),0)</f>
        <v>7.61259217243335</v>
      </c>
      <c r="P764" s="11" t="n">
        <f aca="false">IFERROR(F764/C764,0)</f>
        <v>5.46235246235246</v>
      </c>
      <c r="Q764" s="11" t="n">
        <f aca="false">IFERROR(H764/C764,0)</f>
        <v>788.33663003663</v>
      </c>
      <c r="R764" s="10" t="n">
        <f aca="false">IFERROR(I764/F764,0)</f>
        <v>0.587437597794501</v>
      </c>
      <c r="S764" s="10" t="n">
        <f aca="false">IFERROR(K764/J764,0)</f>
        <v>0.801857049162863</v>
      </c>
      <c r="T764" s="12" t="s">
        <v>30</v>
      </c>
    </row>
    <row r="765" customFormat="false" ht="15" hidden="false" customHeight="false" outlineLevel="0" collapsed="false">
      <c r="A765" s="9" t="s">
        <v>798</v>
      </c>
      <c r="B765" s="9" t="s">
        <v>29</v>
      </c>
      <c r="C765" s="9" t="n">
        <v>991</v>
      </c>
      <c r="D765" s="9" t="n">
        <v>391</v>
      </c>
      <c r="E765" s="9" t="n">
        <v>559</v>
      </c>
      <c r="F765" s="9" t="n">
        <v>9364</v>
      </c>
      <c r="G765" s="9" t="n">
        <v>27</v>
      </c>
      <c r="H765" s="9" t="n">
        <v>1069371.7</v>
      </c>
      <c r="I765" s="9" t="n">
        <v>7812</v>
      </c>
      <c r="J765" s="9" t="n">
        <v>91765</v>
      </c>
      <c r="K765" s="9" t="n">
        <v>68898</v>
      </c>
      <c r="L765" s="9" t="n">
        <v>0</v>
      </c>
      <c r="M765" s="10" t="n">
        <f aca="false">IFERROR(D765/C765,0)</f>
        <v>0.394550958627649</v>
      </c>
      <c r="N765" s="10" t="n">
        <f aca="false">IFERROR(E765/C765,0)</f>
        <v>0.564076690211907</v>
      </c>
      <c r="O765" s="11" t="n">
        <f aca="false">IFERROR(F765/MAX(C765-D765,1),0)</f>
        <v>15.6066666666667</v>
      </c>
      <c r="P765" s="11" t="n">
        <f aca="false">IFERROR(F765/C765,0)</f>
        <v>9.44904137235116</v>
      </c>
      <c r="Q765" s="11" t="n">
        <f aca="false">IFERROR(H765/C765,0)</f>
        <v>1079.08345105954</v>
      </c>
      <c r="R765" s="10" t="n">
        <f aca="false">IFERROR(I765/F765,0)</f>
        <v>0.834258863733447</v>
      </c>
      <c r="S765" s="10" t="n">
        <f aca="false">IFERROR(K765/J765,0)</f>
        <v>0.750809132022013</v>
      </c>
      <c r="T765" s="12" t="s">
        <v>30</v>
      </c>
    </row>
    <row r="766" customFormat="false" ht="15" hidden="false" customHeight="false" outlineLevel="0" collapsed="false">
      <c r="A766" s="3" t="s">
        <v>799</v>
      </c>
      <c r="B766" s="3" t="s">
        <v>26</v>
      </c>
      <c r="C766" s="3" t="n">
        <v>1960</v>
      </c>
      <c r="D766" s="3" t="n">
        <v>133</v>
      </c>
      <c r="E766" s="3" t="n">
        <v>784</v>
      </c>
      <c r="F766" s="3" t="n">
        <v>4885</v>
      </c>
      <c r="G766" s="3" t="n">
        <v>11</v>
      </c>
      <c r="H766" s="3" t="n">
        <v>923561</v>
      </c>
      <c r="I766" s="3" t="n">
        <v>1113</v>
      </c>
      <c r="J766" s="3" t="n">
        <v>371021</v>
      </c>
      <c r="K766" s="3" t="n">
        <v>71214</v>
      </c>
      <c r="L766" s="3" t="n">
        <v>527</v>
      </c>
      <c r="M766" s="4" t="n">
        <f aca="false">IFERROR(D766/C766,0)</f>
        <v>0.0678571428571429</v>
      </c>
      <c r="N766" s="4" t="n">
        <f aca="false">IFERROR(E766/C766,0)</f>
        <v>0.4</v>
      </c>
      <c r="O766" s="5" t="n">
        <f aca="false">IFERROR(F766/MAX(C766-D766,1),0)</f>
        <v>2.67378215654078</v>
      </c>
      <c r="P766" s="5" t="n">
        <f aca="false">IFERROR(F766/C766,0)</f>
        <v>2.49234693877551</v>
      </c>
      <c r="Q766" s="5" t="n">
        <f aca="false">IFERROR(H766/C766,0)</f>
        <v>471.204591836735</v>
      </c>
      <c r="R766" s="4" t="n">
        <f aca="false">IFERROR(I766/F766,0)</f>
        <v>0.227840327533265</v>
      </c>
      <c r="S766" s="4" t="n">
        <f aca="false">IFERROR(K766/J766,0)</f>
        <v>0.191940617916506</v>
      </c>
      <c r="T766" s="6" t="s">
        <v>23</v>
      </c>
    </row>
    <row r="767" customFormat="false" ht="15" hidden="false" customHeight="false" outlineLevel="0" collapsed="false">
      <c r="A767" s="9" t="s">
        <v>800</v>
      </c>
      <c r="B767" s="9" t="s">
        <v>26</v>
      </c>
      <c r="C767" s="9" t="n">
        <v>2962</v>
      </c>
      <c r="D767" s="9" t="n">
        <v>908</v>
      </c>
      <c r="E767" s="9" t="n">
        <v>1839</v>
      </c>
      <c r="F767" s="9" t="n">
        <v>29158</v>
      </c>
      <c r="G767" s="9" t="n">
        <v>31</v>
      </c>
      <c r="H767" s="9" t="n">
        <v>2755766</v>
      </c>
      <c r="I767" s="9" t="n">
        <v>14984</v>
      </c>
      <c r="J767" s="9" t="n">
        <v>258773</v>
      </c>
      <c r="K767" s="9" t="n">
        <v>193052</v>
      </c>
      <c r="L767" s="9" t="n">
        <v>1145</v>
      </c>
      <c r="M767" s="10" t="n">
        <f aca="false">IFERROR(D767/C767,0)</f>
        <v>0.306549628629305</v>
      </c>
      <c r="N767" s="10" t="n">
        <f aca="false">IFERROR(E767/C767,0)</f>
        <v>0.62086428089129</v>
      </c>
      <c r="O767" s="11" t="n">
        <f aca="false">IFERROR(F767/MAX(C767-D767,1),0)</f>
        <v>14.1957156767283</v>
      </c>
      <c r="P767" s="11" t="n">
        <f aca="false">IFERROR(F767/C767,0)</f>
        <v>9.84402430790007</v>
      </c>
      <c r="Q767" s="11" t="n">
        <f aca="false">IFERROR(H767/C767,0)</f>
        <v>930.373396353815</v>
      </c>
      <c r="R767" s="10" t="n">
        <f aca="false">IFERROR(I767/F767,0)</f>
        <v>0.513889841552919</v>
      </c>
      <c r="S767" s="10" t="n">
        <f aca="false">IFERROR(K767/J767,0)</f>
        <v>0.74602837235724</v>
      </c>
      <c r="T767" s="12" t="s">
        <v>30</v>
      </c>
    </row>
    <row r="768" customFormat="false" ht="15" hidden="false" customHeight="false" outlineLevel="0" collapsed="false">
      <c r="A768" s="9" t="s">
        <v>801</v>
      </c>
      <c r="B768" s="9" t="s">
        <v>22</v>
      </c>
      <c r="C768" s="9" t="n">
        <v>3687</v>
      </c>
      <c r="D768" s="9" t="n">
        <v>1026</v>
      </c>
      <c r="E768" s="9" t="n">
        <v>1680</v>
      </c>
      <c r="F768" s="9" t="n">
        <v>22804</v>
      </c>
      <c r="G768" s="9" t="n">
        <v>15</v>
      </c>
      <c r="H768" s="9" t="n">
        <v>3210737.3</v>
      </c>
      <c r="I768" s="9" t="n">
        <v>10809</v>
      </c>
      <c r="J768" s="9" t="n">
        <v>616351</v>
      </c>
      <c r="K768" s="9" t="n">
        <v>442268</v>
      </c>
      <c r="L768" s="9" t="n">
        <v>1700</v>
      </c>
      <c r="M768" s="10" t="n">
        <f aca="false">IFERROR(D768/C768,0)</f>
        <v>0.278275020341741</v>
      </c>
      <c r="N768" s="10" t="n">
        <f aca="false">IFERROR(E768/C768,0)</f>
        <v>0.455655004068348</v>
      </c>
      <c r="O768" s="11" t="n">
        <f aca="false">IFERROR(F768/MAX(C768-D768,1),0)</f>
        <v>8.56971063509959</v>
      </c>
      <c r="P768" s="11" t="n">
        <f aca="false">IFERROR(F768/C768,0)</f>
        <v>6.18497423379441</v>
      </c>
      <c r="Q768" s="11" t="n">
        <f aca="false">IFERROR(H768/C768,0)</f>
        <v>870.826498508272</v>
      </c>
      <c r="R768" s="10" t="n">
        <f aca="false">IFERROR(I768/F768,0)</f>
        <v>0.473995790212244</v>
      </c>
      <c r="S768" s="10" t="n">
        <f aca="false">IFERROR(K768/J768,0)</f>
        <v>0.717558663813314</v>
      </c>
      <c r="T768" s="12" t="s">
        <v>30</v>
      </c>
    </row>
    <row r="769" customFormat="false" ht="15" hidden="false" customHeight="false" outlineLevel="0" collapsed="false">
      <c r="A769" s="9" t="s">
        <v>802</v>
      </c>
      <c r="B769" s="9" t="s">
        <v>22</v>
      </c>
      <c r="C769" s="9" t="n">
        <v>1358</v>
      </c>
      <c r="D769" s="9" t="n">
        <v>221</v>
      </c>
      <c r="E769" s="9" t="n">
        <v>676</v>
      </c>
      <c r="F769" s="9" t="n">
        <v>6300</v>
      </c>
      <c r="G769" s="9" t="n">
        <v>14</v>
      </c>
      <c r="H769" s="9" t="n">
        <v>987506.1</v>
      </c>
      <c r="I769" s="9" t="n">
        <v>3096</v>
      </c>
      <c r="J769" s="9" t="n">
        <v>141275</v>
      </c>
      <c r="K769" s="9" t="n">
        <v>84896</v>
      </c>
      <c r="L769" s="9" t="n">
        <v>221</v>
      </c>
      <c r="M769" s="10" t="n">
        <f aca="false">IFERROR(D769/C769,0)</f>
        <v>0.162739322533137</v>
      </c>
      <c r="N769" s="10" t="n">
        <f aca="false">IFERROR(E769/C769,0)</f>
        <v>0.49779086892489</v>
      </c>
      <c r="O769" s="11" t="n">
        <f aca="false">IFERROR(F769/MAX(C769-D769,1),0)</f>
        <v>5.54089709762533</v>
      </c>
      <c r="P769" s="11" t="n">
        <f aca="false">IFERROR(F769/C769,0)</f>
        <v>4.63917525773196</v>
      </c>
      <c r="Q769" s="11" t="n">
        <f aca="false">IFERROR(H769/C769,0)</f>
        <v>727.176804123711</v>
      </c>
      <c r="R769" s="10" t="n">
        <f aca="false">IFERROR(I769/F769,0)</f>
        <v>0.491428571428571</v>
      </c>
      <c r="S769" s="10" t="n">
        <f aca="false">IFERROR(K769/J769,0)</f>
        <v>0.600927269509821</v>
      </c>
      <c r="T769" s="12" t="s">
        <v>30</v>
      </c>
    </row>
    <row r="770" customFormat="false" ht="15" hidden="false" customHeight="false" outlineLevel="0" collapsed="false">
      <c r="A770" s="3" t="s">
        <v>803</v>
      </c>
      <c r="B770" s="3" t="s">
        <v>29</v>
      </c>
      <c r="C770" s="3" t="n">
        <v>3234</v>
      </c>
      <c r="D770" s="3" t="n">
        <v>449</v>
      </c>
      <c r="E770" s="3" t="n">
        <v>1256</v>
      </c>
      <c r="F770" s="3" t="n">
        <v>10371</v>
      </c>
      <c r="G770" s="3" t="n">
        <v>14</v>
      </c>
      <c r="H770" s="3" t="n">
        <v>1615542</v>
      </c>
      <c r="I770" s="3" t="n">
        <v>1784</v>
      </c>
      <c r="J770" s="3" t="n">
        <v>370976</v>
      </c>
      <c r="K770" s="3" t="n">
        <v>76473</v>
      </c>
      <c r="L770" s="3" t="n">
        <v>0</v>
      </c>
      <c r="M770" s="4" t="n">
        <f aca="false">IFERROR(D770/C770,0)</f>
        <v>0.138837353123067</v>
      </c>
      <c r="N770" s="4" t="n">
        <f aca="false">IFERROR(E770/C770,0)</f>
        <v>0.388373531230674</v>
      </c>
      <c r="O770" s="5" t="n">
        <f aca="false">IFERROR(F770/MAX(C770-D770,1),0)</f>
        <v>3.72387791741472</v>
      </c>
      <c r="P770" s="5" t="n">
        <f aca="false">IFERROR(F770/C770,0)</f>
        <v>3.20686456400742</v>
      </c>
      <c r="Q770" s="5" t="n">
        <f aca="false">IFERROR(H770/C770,0)</f>
        <v>499.549165120594</v>
      </c>
      <c r="R770" s="4" t="n">
        <f aca="false">IFERROR(I770/F770,0)</f>
        <v>0.172018127470832</v>
      </c>
      <c r="S770" s="4" t="n">
        <f aca="false">IFERROR(K770/J770,0)</f>
        <v>0.206140019839558</v>
      </c>
      <c r="T770" s="6" t="s">
        <v>23</v>
      </c>
    </row>
    <row r="771" customFormat="false" ht="15" hidden="false" customHeight="false" outlineLevel="0" collapsed="false">
      <c r="A771" s="3" t="s">
        <v>804</v>
      </c>
      <c r="B771" s="3" t="s">
        <v>29</v>
      </c>
      <c r="C771" s="3" t="n">
        <v>1051</v>
      </c>
      <c r="D771" s="3" t="n">
        <v>91</v>
      </c>
      <c r="E771" s="3" t="n">
        <v>300</v>
      </c>
      <c r="F771" s="3" t="n">
        <v>3445</v>
      </c>
      <c r="G771" s="3" t="n">
        <v>16</v>
      </c>
      <c r="H771" s="3" t="n">
        <v>239815.8</v>
      </c>
      <c r="I771" s="3" t="n">
        <v>533</v>
      </c>
      <c r="J771" s="3" t="n">
        <v>104922</v>
      </c>
      <c r="K771" s="3" t="n">
        <v>25211</v>
      </c>
      <c r="L771" s="3" t="n">
        <v>0</v>
      </c>
      <c r="M771" s="4" t="n">
        <f aca="false">IFERROR(D771/C771,0)</f>
        <v>0.0865842055185538</v>
      </c>
      <c r="N771" s="4" t="n">
        <f aca="false">IFERROR(E771/C771,0)</f>
        <v>0.285442435775452</v>
      </c>
      <c r="O771" s="5" t="n">
        <f aca="false">IFERROR(F771/MAX(C771-D771,1),0)</f>
        <v>3.58854166666667</v>
      </c>
      <c r="P771" s="5" t="n">
        <f aca="false">IFERROR(F771/C771,0)</f>
        <v>3.27783063748811</v>
      </c>
      <c r="Q771" s="5" t="n">
        <f aca="false">IFERROR(H771/C771,0)</f>
        <v>228.178686964795</v>
      </c>
      <c r="R771" s="4" t="n">
        <f aca="false">IFERROR(I771/F771,0)</f>
        <v>0.154716981132075</v>
      </c>
      <c r="S771" s="4" t="n">
        <f aca="false">IFERROR(K771/J771,0)</f>
        <v>0.240283258039305</v>
      </c>
      <c r="T771" s="6" t="s">
        <v>23</v>
      </c>
    </row>
    <row r="772" customFormat="false" ht="15" hidden="false" customHeight="false" outlineLevel="0" collapsed="false">
      <c r="A772" s="3" t="s">
        <v>805</v>
      </c>
      <c r="B772" s="3" t="s">
        <v>26</v>
      </c>
      <c r="C772" s="3" t="n">
        <v>831</v>
      </c>
      <c r="D772" s="3" t="n">
        <v>138</v>
      </c>
      <c r="E772" s="3" t="n">
        <v>282</v>
      </c>
      <c r="F772" s="3" t="n">
        <v>2947</v>
      </c>
      <c r="G772" s="3" t="n">
        <v>15</v>
      </c>
      <c r="H772" s="3" t="n">
        <v>538668.9</v>
      </c>
      <c r="I772" s="3" t="n">
        <v>615</v>
      </c>
      <c r="J772" s="3" t="n">
        <v>95097</v>
      </c>
      <c r="K772" s="3" t="n">
        <v>22187</v>
      </c>
      <c r="L772" s="3" t="n">
        <v>203</v>
      </c>
      <c r="M772" s="4" t="n">
        <f aca="false">IFERROR(D772/C772,0)</f>
        <v>0.166064981949458</v>
      </c>
      <c r="N772" s="4" t="n">
        <f aca="false">IFERROR(E772/C772,0)</f>
        <v>0.339350180505415</v>
      </c>
      <c r="O772" s="5" t="n">
        <f aca="false">IFERROR(F772/MAX(C772-D772,1),0)</f>
        <v>4.25252525252525</v>
      </c>
      <c r="P772" s="5" t="n">
        <f aca="false">IFERROR(F772/C772,0)</f>
        <v>3.54632972322503</v>
      </c>
      <c r="Q772" s="5" t="n">
        <f aca="false">IFERROR(H772/C772,0)</f>
        <v>648.217689530686</v>
      </c>
      <c r="R772" s="4" t="n">
        <f aca="false">IFERROR(I772/F772,0)</f>
        <v>0.208686800135731</v>
      </c>
      <c r="S772" s="4" t="n">
        <f aca="false">IFERROR(K772/J772,0)</f>
        <v>0.233309147502024</v>
      </c>
      <c r="T772" s="6" t="s">
        <v>23</v>
      </c>
    </row>
    <row r="773" customFormat="false" ht="15" hidden="false" customHeight="false" outlineLevel="0" collapsed="false">
      <c r="A773" s="3" t="s">
        <v>806</v>
      </c>
      <c r="B773" s="3" t="s">
        <v>26</v>
      </c>
      <c r="C773" s="3" t="n">
        <v>2683</v>
      </c>
      <c r="D773" s="3" t="n">
        <v>365</v>
      </c>
      <c r="E773" s="3" t="n">
        <v>957</v>
      </c>
      <c r="F773" s="3" t="n">
        <v>5741</v>
      </c>
      <c r="G773" s="3" t="n">
        <v>6</v>
      </c>
      <c r="H773" s="3" t="n">
        <v>1056397.6</v>
      </c>
      <c r="I773" s="3" t="n">
        <v>1024</v>
      </c>
      <c r="J773" s="3" t="n">
        <v>209221</v>
      </c>
      <c r="K773" s="3" t="n">
        <v>47670</v>
      </c>
      <c r="L773" s="3" t="n">
        <v>972</v>
      </c>
      <c r="M773" s="4" t="n">
        <f aca="false">IFERROR(D773/C773,0)</f>
        <v>0.136041744316064</v>
      </c>
      <c r="N773" s="4" t="n">
        <f aca="false">IFERROR(E773/C773,0)</f>
        <v>0.356690272083489</v>
      </c>
      <c r="O773" s="5" t="n">
        <f aca="false">IFERROR(F773/MAX(C773-D773,1),0)</f>
        <v>2.47670405522002</v>
      </c>
      <c r="P773" s="5" t="n">
        <f aca="false">IFERROR(F773/C773,0)</f>
        <v>2.13976891539322</v>
      </c>
      <c r="Q773" s="5" t="n">
        <f aca="false">IFERROR(H773/C773,0)</f>
        <v>393.737458069325</v>
      </c>
      <c r="R773" s="4" t="n">
        <f aca="false">IFERROR(I773/F773,0)</f>
        <v>0.178366138303431</v>
      </c>
      <c r="S773" s="4" t="n">
        <f aca="false">IFERROR(K773/J773,0)</f>
        <v>0.227845197183839</v>
      </c>
      <c r="T773" s="6" t="s">
        <v>23</v>
      </c>
    </row>
    <row r="774" customFormat="false" ht="15" hidden="false" customHeight="false" outlineLevel="0" collapsed="false">
      <c r="A774" s="3" t="s">
        <v>807</v>
      </c>
      <c r="B774" s="3" t="s">
        <v>26</v>
      </c>
      <c r="C774" s="3" t="n">
        <v>2163</v>
      </c>
      <c r="D774" s="3" t="n">
        <v>283</v>
      </c>
      <c r="E774" s="3" t="n">
        <v>961</v>
      </c>
      <c r="F774" s="3" t="n">
        <v>6128</v>
      </c>
      <c r="G774" s="3" t="n">
        <v>14</v>
      </c>
      <c r="H774" s="3" t="n">
        <v>1391330.4</v>
      </c>
      <c r="I774" s="3" t="n">
        <v>1265</v>
      </c>
      <c r="J774" s="3" t="n">
        <v>199935</v>
      </c>
      <c r="K774" s="3" t="n">
        <v>39866</v>
      </c>
      <c r="L774" s="3" t="n">
        <v>723</v>
      </c>
      <c r="M774" s="4" t="n">
        <f aca="false">IFERROR(D774/C774,0)</f>
        <v>0.130836800739713</v>
      </c>
      <c r="N774" s="4" t="n">
        <f aca="false">IFERROR(E774/C774,0)</f>
        <v>0.444290337494221</v>
      </c>
      <c r="O774" s="5" t="n">
        <f aca="false">IFERROR(F774/MAX(C774-D774,1),0)</f>
        <v>3.25957446808511</v>
      </c>
      <c r="P774" s="5" t="n">
        <f aca="false">IFERROR(F774/C774,0)</f>
        <v>2.833102172908</v>
      </c>
      <c r="Q774" s="5" t="n">
        <f aca="false">IFERROR(H774/C774,0)</f>
        <v>643.24105409154</v>
      </c>
      <c r="R774" s="4" t="n">
        <f aca="false">IFERROR(I774/F774,0)</f>
        <v>0.206429503916449</v>
      </c>
      <c r="S774" s="4" t="n">
        <f aca="false">IFERROR(K774/J774,0)</f>
        <v>0.199394803311076</v>
      </c>
      <c r="T774" s="6" t="s">
        <v>23</v>
      </c>
    </row>
    <row r="775" customFormat="false" ht="15" hidden="false" customHeight="false" outlineLevel="0" collapsed="false">
      <c r="A775" s="9" t="s">
        <v>808</v>
      </c>
      <c r="B775" s="9" t="s">
        <v>29</v>
      </c>
      <c r="C775" s="9" t="n">
        <v>2506</v>
      </c>
      <c r="D775" s="9" t="n">
        <v>501</v>
      </c>
      <c r="E775" s="9" t="n">
        <v>1108</v>
      </c>
      <c r="F775" s="9" t="n">
        <v>20536</v>
      </c>
      <c r="G775" s="9" t="n">
        <v>26</v>
      </c>
      <c r="H775" s="9" t="n">
        <v>2592638.1</v>
      </c>
      <c r="I775" s="9" t="n">
        <v>7924</v>
      </c>
      <c r="J775" s="9" t="n">
        <v>402591</v>
      </c>
      <c r="K775" s="9" t="n">
        <v>252217</v>
      </c>
      <c r="L775" s="9" t="n">
        <v>0</v>
      </c>
      <c r="M775" s="10" t="n">
        <f aca="false">IFERROR(D775/C775,0)</f>
        <v>0.199920191540303</v>
      </c>
      <c r="N775" s="10" t="n">
        <f aca="false">IFERROR(E775/C775,0)</f>
        <v>0.442138866719872</v>
      </c>
      <c r="O775" s="11" t="n">
        <f aca="false">IFERROR(F775/MAX(C775-D775,1),0)</f>
        <v>10.2423940149626</v>
      </c>
      <c r="P775" s="11" t="n">
        <f aca="false">IFERROR(F775/C775,0)</f>
        <v>8.19473264166002</v>
      </c>
      <c r="Q775" s="11" t="n">
        <f aca="false">IFERROR(H775/C775,0)</f>
        <v>1034.57226656026</v>
      </c>
      <c r="R775" s="10" t="n">
        <f aca="false">IFERROR(I775/F775,0)</f>
        <v>0.385858979353331</v>
      </c>
      <c r="S775" s="10" t="n">
        <f aca="false">IFERROR(K775/J775,0)</f>
        <v>0.626484446994593</v>
      </c>
      <c r="T775" s="12" t="s">
        <v>30</v>
      </c>
    </row>
    <row r="776" customFormat="false" ht="15" hidden="false" customHeight="false" outlineLevel="0" collapsed="false">
      <c r="A776" s="3" t="s">
        <v>809</v>
      </c>
      <c r="B776" s="3" t="s">
        <v>26</v>
      </c>
      <c r="C776" s="3" t="n">
        <v>1141</v>
      </c>
      <c r="D776" s="3" t="n">
        <v>119</v>
      </c>
      <c r="E776" s="3" t="n">
        <v>294</v>
      </c>
      <c r="F776" s="3" t="n">
        <v>2389</v>
      </c>
      <c r="G776" s="3" t="n">
        <v>6</v>
      </c>
      <c r="H776" s="3" t="n">
        <v>255132.2</v>
      </c>
      <c r="I776" s="3" t="n">
        <v>530</v>
      </c>
      <c r="J776" s="3" t="n">
        <v>215944</v>
      </c>
      <c r="K776" s="3" t="n">
        <v>37065</v>
      </c>
      <c r="L776" s="3" t="n">
        <v>191</v>
      </c>
      <c r="M776" s="4" t="n">
        <f aca="false">IFERROR(D776/C776,0)</f>
        <v>0.104294478527607</v>
      </c>
      <c r="N776" s="4" t="n">
        <f aca="false">IFERROR(E776/C776,0)</f>
        <v>0.257668711656442</v>
      </c>
      <c r="O776" s="5" t="n">
        <f aca="false">IFERROR(F776/MAX(C776-D776,1),0)</f>
        <v>2.33757338551859</v>
      </c>
      <c r="P776" s="5" t="n">
        <f aca="false">IFERROR(F776/C776,0)</f>
        <v>2.09377738825592</v>
      </c>
      <c r="Q776" s="5" t="n">
        <f aca="false">IFERROR(H776/C776,0)</f>
        <v>223.604031551271</v>
      </c>
      <c r="R776" s="4" t="n">
        <f aca="false">IFERROR(I776/F776,0)</f>
        <v>0.221850146504814</v>
      </c>
      <c r="S776" s="4" t="n">
        <f aca="false">IFERROR(K776/J776,0)</f>
        <v>0.171641721927907</v>
      </c>
      <c r="T776" s="6" t="s">
        <v>23</v>
      </c>
    </row>
    <row r="777" customFormat="false" ht="15" hidden="false" customHeight="false" outlineLevel="0" collapsed="false">
      <c r="A777" s="3" t="s">
        <v>810</v>
      </c>
      <c r="B777" s="3" t="s">
        <v>26</v>
      </c>
      <c r="C777" s="3" t="n">
        <v>706</v>
      </c>
      <c r="D777" s="3" t="n">
        <v>49</v>
      </c>
      <c r="E777" s="3" t="n">
        <v>257</v>
      </c>
      <c r="F777" s="3" t="n">
        <v>1382</v>
      </c>
      <c r="G777" s="3" t="n">
        <v>8</v>
      </c>
      <c r="H777" s="3" t="n">
        <v>220967.6</v>
      </c>
      <c r="I777" s="3" t="n">
        <v>226</v>
      </c>
      <c r="J777" s="3" t="n">
        <v>117090</v>
      </c>
      <c r="K777" s="3" t="n">
        <v>18021</v>
      </c>
      <c r="L777" s="3" t="n">
        <v>76</v>
      </c>
      <c r="M777" s="4" t="n">
        <f aca="false">IFERROR(D777/C777,0)</f>
        <v>0.0694050991501417</v>
      </c>
      <c r="N777" s="4" t="n">
        <f aca="false">IFERROR(E777/C777,0)</f>
        <v>0.364022662889518</v>
      </c>
      <c r="O777" s="5" t="n">
        <f aca="false">IFERROR(F777/MAX(C777-D777,1),0)</f>
        <v>2.10350076103501</v>
      </c>
      <c r="P777" s="5" t="n">
        <f aca="false">IFERROR(F777/C777,0)</f>
        <v>1.95750708215297</v>
      </c>
      <c r="Q777" s="5" t="n">
        <f aca="false">IFERROR(H777/C777,0)</f>
        <v>312.985269121813</v>
      </c>
      <c r="R777" s="4" t="n">
        <f aca="false">IFERROR(I777/F777,0)</f>
        <v>0.163531114327062</v>
      </c>
      <c r="S777" s="4" t="n">
        <f aca="false">IFERROR(K777/J777,0)</f>
        <v>0.153907250832693</v>
      </c>
      <c r="T777" s="6" t="s">
        <v>23</v>
      </c>
    </row>
    <row r="778" customFormat="false" ht="15" hidden="false" customHeight="false" outlineLevel="0" collapsed="false">
      <c r="A778" s="3" t="s">
        <v>811</v>
      </c>
      <c r="B778" s="3" t="s">
        <v>26</v>
      </c>
      <c r="C778" s="3" t="n">
        <v>2197</v>
      </c>
      <c r="D778" s="3" t="n">
        <v>197</v>
      </c>
      <c r="E778" s="3" t="n">
        <v>616</v>
      </c>
      <c r="F778" s="3" t="n">
        <v>6678</v>
      </c>
      <c r="G778" s="3" t="n">
        <v>12</v>
      </c>
      <c r="H778" s="3" t="n">
        <v>293695</v>
      </c>
      <c r="I778" s="3" t="n">
        <v>775</v>
      </c>
      <c r="J778" s="3" t="n">
        <v>349715</v>
      </c>
      <c r="K778" s="3" t="n">
        <v>65202</v>
      </c>
      <c r="L778" s="3" t="n">
        <v>333</v>
      </c>
      <c r="M778" s="4" t="n">
        <f aca="false">IFERROR(D778/C778,0)</f>
        <v>0.0896677287209832</v>
      </c>
      <c r="N778" s="4" t="n">
        <f aca="false">IFERROR(E778/C778,0)</f>
        <v>0.280382339553937</v>
      </c>
      <c r="O778" s="5" t="n">
        <f aca="false">IFERROR(F778/MAX(C778-D778,1),0)</f>
        <v>3.339</v>
      </c>
      <c r="P778" s="5" t="n">
        <f aca="false">IFERROR(F778/C778,0)</f>
        <v>3.03959945380064</v>
      </c>
      <c r="Q778" s="5" t="n">
        <f aca="false">IFERROR(H778/C778,0)</f>
        <v>133.680018206645</v>
      </c>
      <c r="R778" s="4" t="n">
        <f aca="false">IFERROR(I778/F778,0)</f>
        <v>0.116052710392333</v>
      </c>
      <c r="S778" s="4" t="n">
        <f aca="false">IFERROR(K778/J778,0)</f>
        <v>0.186443246643696</v>
      </c>
      <c r="T778" s="6" t="s">
        <v>23</v>
      </c>
    </row>
    <row r="779" customFormat="false" ht="15" hidden="false" customHeight="false" outlineLevel="0" collapsed="false">
      <c r="A779" s="9" t="s">
        <v>812</v>
      </c>
      <c r="B779" s="9" t="s">
        <v>29</v>
      </c>
      <c r="C779" s="9" t="n">
        <v>1884</v>
      </c>
      <c r="D779" s="9" t="n">
        <v>436</v>
      </c>
      <c r="E779" s="9" t="n">
        <v>911</v>
      </c>
      <c r="F779" s="9" t="n">
        <v>13561</v>
      </c>
      <c r="G779" s="9" t="n">
        <v>19</v>
      </c>
      <c r="H779" s="9" t="n">
        <v>1988162.8</v>
      </c>
      <c r="I779" s="9" t="n">
        <v>9923</v>
      </c>
      <c r="J779" s="9" t="n">
        <v>133662</v>
      </c>
      <c r="K779" s="9" t="n">
        <v>107369</v>
      </c>
      <c r="L779" s="9" t="n">
        <v>0</v>
      </c>
      <c r="M779" s="10" t="n">
        <f aca="false">IFERROR(D779/C779,0)</f>
        <v>0.231422505307856</v>
      </c>
      <c r="N779" s="10" t="n">
        <f aca="false">IFERROR(E779/C779,0)</f>
        <v>0.483545647558386</v>
      </c>
      <c r="O779" s="11" t="n">
        <f aca="false">IFERROR(F779/MAX(C779-D779,1),0)</f>
        <v>9.36533149171271</v>
      </c>
      <c r="P779" s="11" t="n">
        <f aca="false">IFERROR(F779/C779,0)</f>
        <v>7.197983014862</v>
      </c>
      <c r="Q779" s="11" t="n">
        <f aca="false">IFERROR(H779/C779,0)</f>
        <v>1055.2881104034</v>
      </c>
      <c r="R779" s="10" t="n">
        <f aca="false">IFERROR(I779/F779,0)</f>
        <v>0.731730698326082</v>
      </c>
      <c r="S779" s="10" t="n">
        <f aca="false">IFERROR(K779/J779,0)</f>
        <v>0.803287396567461</v>
      </c>
      <c r="T779" s="12" t="s">
        <v>30</v>
      </c>
    </row>
    <row r="780" customFormat="false" ht="15" hidden="false" customHeight="false" outlineLevel="0" collapsed="false">
      <c r="A780" s="3" t="s">
        <v>813</v>
      </c>
      <c r="B780" s="3" t="s">
        <v>22</v>
      </c>
      <c r="C780" s="3" t="n">
        <v>536</v>
      </c>
      <c r="D780" s="3" t="n">
        <v>80</v>
      </c>
      <c r="E780" s="3" t="n">
        <v>259</v>
      </c>
      <c r="F780" s="3" t="n">
        <v>1629</v>
      </c>
      <c r="G780" s="3" t="n">
        <v>13</v>
      </c>
      <c r="H780" s="3" t="n">
        <v>259587.6</v>
      </c>
      <c r="I780" s="3" t="n">
        <v>472</v>
      </c>
      <c r="J780" s="3" t="n">
        <v>58959</v>
      </c>
      <c r="K780" s="3" t="n">
        <v>11589</v>
      </c>
      <c r="L780" s="3" t="n">
        <v>111</v>
      </c>
      <c r="M780" s="4" t="n">
        <f aca="false">IFERROR(D780/C780,0)</f>
        <v>0.149253731343284</v>
      </c>
      <c r="N780" s="4" t="n">
        <f aca="false">IFERROR(E780/C780,0)</f>
        <v>0.483208955223881</v>
      </c>
      <c r="O780" s="5" t="n">
        <f aca="false">IFERROR(F780/MAX(C780-D780,1),0)</f>
        <v>3.57236842105263</v>
      </c>
      <c r="P780" s="5" t="n">
        <f aca="false">IFERROR(F780/C780,0)</f>
        <v>3.03917910447761</v>
      </c>
      <c r="Q780" s="5" t="n">
        <f aca="false">IFERROR(H780/C780,0)</f>
        <v>484.305223880597</v>
      </c>
      <c r="R780" s="4" t="n">
        <f aca="false">IFERROR(I780/F780,0)</f>
        <v>0.289748311847759</v>
      </c>
      <c r="S780" s="4" t="n">
        <f aca="false">IFERROR(K780/J780,0)</f>
        <v>0.196560321579403</v>
      </c>
      <c r="T780" s="6" t="s">
        <v>23</v>
      </c>
    </row>
    <row r="781" customFormat="false" ht="15" hidden="false" customHeight="false" outlineLevel="0" collapsed="false">
      <c r="A781" s="3" t="s">
        <v>814</v>
      </c>
      <c r="B781" s="3" t="s">
        <v>22</v>
      </c>
      <c r="C781" s="3" t="n">
        <v>1389</v>
      </c>
      <c r="D781" s="3" t="n">
        <v>159</v>
      </c>
      <c r="E781" s="3" t="n">
        <v>428</v>
      </c>
      <c r="F781" s="3" t="n">
        <v>3897</v>
      </c>
      <c r="G781" s="3" t="n">
        <v>15</v>
      </c>
      <c r="H781" s="3" t="n">
        <v>616488.8</v>
      </c>
      <c r="I781" s="3" t="n">
        <v>844</v>
      </c>
      <c r="J781" s="3" t="n">
        <v>210974</v>
      </c>
      <c r="K781" s="3" t="n">
        <v>38521</v>
      </c>
      <c r="L781" s="3" t="n">
        <v>162</v>
      </c>
      <c r="M781" s="4" t="n">
        <f aca="false">IFERROR(D781/C781,0)</f>
        <v>0.114470842332613</v>
      </c>
      <c r="N781" s="4" t="n">
        <f aca="false">IFERROR(E781/C781,0)</f>
        <v>0.308135349172066</v>
      </c>
      <c r="O781" s="5" t="n">
        <f aca="false">IFERROR(F781/MAX(C781-D781,1),0)</f>
        <v>3.16829268292683</v>
      </c>
      <c r="P781" s="5" t="n">
        <f aca="false">IFERROR(F781/C781,0)</f>
        <v>2.80561555075594</v>
      </c>
      <c r="Q781" s="5" t="n">
        <f aca="false">IFERROR(H781/C781,0)</f>
        <v>443.836429085673</v>
      </c>
      <c r="R781" s="4" t="n">
        <f aca="false">IFERROR(I781/F781,0)</f>
        <v>0.216576853990249</v>
      </c>
      <c r="S781" s="4" t="n">
        <f aca="false">IFERROR(K781/J781,0)</f>
        <v>0.182586479850598</v>
      </c>
      <c r="T781" s="6" t="s">
        <v>23</v>
      </c>
    </row>
    <row r="782" customFormat="false" ht="15" hidden="false" customHeight="false" outlineLevel="0" collapsed="false">
      <c r="A782" s="9" t="s">
        <v>815</v>
      </c>
      <c r="B782" s="9" t="s">
        <v>26</v>
      </c>
      <c r="C782" s="9" t="n">
        <v>3725</v>
      </c>
      <c r="D782" s="9" t="n">
        <v>802</v>
      </c>
      <c r="E782" s="9" t="n">
        <v>1524</v>
      </c>
      <c r="F782" s="9" t="n">
        <v>22819</v>
      </c>
      <c r="G782" s="9" t="n">
        <v>18</v>
      </c>
      <c r="H782" s="9" t="n">
        <v>3311608.3</v>
      </c>
      <c r="I782" s="9" t="n">
        <v>18231</v>
      </c>
      <c r="J782" s="9" t="n">
        <v>423291</v>
      </c>
      <c r="K782" s="9" t="n">
        <v>343142</v>
      </c>
      <c r="L782" s="9" t="n">
        <v>1312</v>
      </c>
      <c r="M782" s="10" t="n">
        <f aca="false">IFERROR(D782/C782,0)</f>
        <v>0.215302013422819</v>
      </c>
      <c r="N782" s="10" t="n">
        <f aca="false">IFERROR(E782/C782,0)</f>
        <v>0.409127516778524</v>
      </c>
      <c r="O782" s="11" t="n">
        <f aca="false">IFERROR(F782/MAX(C782-D782,1),0)</f>
        <v>7.80670543961683</v>
      </c>
      <c r="P782" s="11" t="n">
        <f aca="false">IFERROR(F782/C782,0)</f>
        <v>6.12590604026846</v>
      </c>
      <c r="Q782" s="11" t="n">
        <f aca="false">IFERROR(H782/C782,0)</f>
        <v>889.022362416107</v>
      </c>
      <c r="R782" s="10" t="n">
        <f aca="false">IFERROR(I782/F782,0)</f>
        <v>0.79893948025768</v>
      </c>
      <c r="S782" s="10" t="n">
        <f aca="false">IFERROR(K782/J782,0)</f>
        <v>0.810652718815189</v>
      </c>
      <c r="T782" s="12" t="s">
        <v>30</v>
      </c>
    </row>
    <row r="783" customFormat="false" ht="15" hidden="false" customHeight="false" outlineLevel="0" collapsed="false">
      <c r="A783" s="3" t="s">
        <v>816</v>
      </c>
      <c r="B783" s="3" t="s">
        <v>26</v>
      </c>
      <c r="C783" s="3" t="n">
        <v>3647</v>
      </c>
      <c r="D783" s="3" t="n">
        <v>406</v>
      </c>
      <c r="E783" s="3" t="n">
        <v>1122</v>
      </c>
      <c r="F783" s="3" t="n">
        <v>12001</v>
      </c>
      <c r="G783" s="3" t="n">
        <v>11</v>
      </c>
      <c r="H783" s="3" t="n">
        <v>1599687.8</v>
      </c>
      <c r="I783" s="3" t="n">
        <v>2408</v>
      </c>
      <c r="J783" s="3" t="n">
        <v>287031</v>
      </c>
      <c r="K783" s="3" t="n">
        <v>68015</v>
      </c>
      <c r="L783" s="3" t="n">
        <v>1361</v>
      </c>
      <c r="M783" s="4" t="n">
        <f aca="false">IFERROR(D783/C783,0)</f>
        <v>0.111324376199616</v>
      </c>
      <c r="N783" s="4" t="n">
        <f aca="false">IFERROR(E783/C783,0)</f>
        <v>0.307650123389087</v>
      </c>
      <c r="O783" s="5" t="n">
        <f aca="false">IFERROR(F783/MAX(C783-D783,1),0)</f>
        <v>3.70286948472694</v>
      </c>
      <c r="P783" s="5" t="n">
        <f aca="false">IFERROR(F783/C783,0)</f>
        <v>3.29064984919112</v>
      </c>
      <c r="Q783" s="5" t="n">
        <f aca="false">IFERROR(H783/C783,0)</f>
        <v>438.631148889498</v>
      </c>
      <c r="R783" s="4" t="n">
        <f aca="false">IFERROR(I783/F783,0)</f>
        <v>0.200649945837847</v>
      </c>
      <c r="S783" s="4" t="n">
        <f aca="false">IFERROR(K783/J783,0)</f>
        <v>0.236960467684675</v>
      </c>
      <c r="T783" s="6" t="s">
        <v>23</v>
      </c>
    </row>
    <row r="784" customFormat="false" ht="15" hidden="false" customHeight="false" outlineLevel="0" collapsed="false">
      <c r="A784" s="3" t="s">
        <v>817</v>
      </c>
      <c r="B784" s="3" t="s">
        <v>29</v>
      </c>
      <c r="C784" s="3" t="n">
        <v>3133</v>
      </c>
      <c r="D784" s="3" t="n">
        <v>77</v>
      </c>
      <c r="E784" s="3" t="n">
        <v>946</v>
      </c>
      <c r="F784" s="3" t="n">
        <v>2203</v>
      </c>
      <c r="G784" s="3" t="n">
        <v>6</v>
      </c>
      <c r="H784" s="3" t="n">
        <v>1298319.1</v>
      </c>
      <c r="I784" s="3" t="n">
        <v>367</v>
      </c>
      <c r="J784" s="3" t="n">
        <v>292418</v>
      </c>
      <c r="K784" s="3" t="n">
        <v>77073</v>
      </c>
      <c r="L784" s="3" t="n">
        <v>0</v>
      </c>
      <c r="M784" s="4" t="n">
        <f aca="false">IFERROR(D784/C784,0)</f>
        <v>0.024577082668369</v>
      </c>
      <c r="N784" s="4" t="n">
        <f aca="false">IFERROR(E784/C784,0)</f>
        <v>0.301947015639962</v>
      </c>
      <c r="O784" s="5" t="n">
        <f aca="false">IFERROR(F784/MAX(C784-D784,1),0)</f>
        <v>0.720876963350785</v>
      </c>
      <c r="P784" s="5" t="n">
        <f aca="false">IFERROR(F784/C784,0)</f>
        <v>0.70315991062879</v>
      </c>
      <c r="Q784" s="5" t="n">
        <f aca="false">IFERROR(H784/C784,0)</f>
        <v>414.401244813278</v>
      </c>
      <c r="R784" s="4" t="n">
        <f aca="false">IFERROR(I784/F784,0)</f>
        <v>0.166591012256015</v>
      </c>
      <c r="S784" s="4" t="n">
        <f aca="false">IFERROR(K784/J784,0)</f>
        <v>0.263571325978565</v>
      </c>
      <c r="T784" s="6" t="s">
        <v>23</v>
      </c>
    </row>
    <row r="785" customFormat="false" ht="15" hidden="false" customHeight="false" outlineLevel="0" collapsed="false">
      <c r="A785" s="9" t="s">
        <v>818</v>
      </c>
      <c r="B785" s="9" t="s">
        <v>29</v>
      </c>
      <c r="C785" s="9" t="n">
        <v>1196</v>
      </c>
      <c r="D785" s="9" t="n">
        <v>260</v>
      </c>
      <c r="E785" s="9" t="n">
        <v>656</v>
      </c>
      <c r="F785" s="9" t="n">
        <v>4421</v>
      </c>
      <c r="G785" s="9" t="n">
        <v>14</v>
      </c>
      <c r="H785" s="9" t="n">
        <v>816565.9</v>
      </c>
      <c r="I785" s="9" t="n">
        <v>3037</v>
      </c>
      <c r="J785" s="9" t="n">
        <v>173078</v>
      </c>
      <c r="K785" s="9" t="n">
        <v>100703</v>
      </c>
      <c r="L785" s="9" t="n">
        <v>0</v>
      </c>
      <c r="M785" s="10" t="n">
        <f aca="false">IFERROR(D785/C785,0)</f>
        <v>0.217391304347826</v>
      </c>
      <c r="N785" s="10" t="n">
        <f aca="false">IFERROR(E785/C785,0)</f>
        <v>0.548494983277592</v>
      </c>
      <c r="O785" s="11" t="n">
        <f aca="false">IFERROR(F785/MAX(C785-D785,1),0)</f>
        <v>4.7232905982906</v>
      </c>
      <c r="P785" s="11" t="n">
        <f aca="false">IFERROR(F785/C785,0)</f>
        <v>3.69648829431438</v>
      </c>
      <c r="Q785" s="11" t="n">
        <f aca="false">IFERROR(H785/C785,0)</f>
        <v>682.747408026756</v>
      </c>
      <c r="R785" s="10" t="n">
        <f aca="false">IFERROR(I785/F785,0)</f>
        <v>0.686948654150645</v>
      </c>
      <c r="S785" s="10" t="n">
        <f aca="false">IFERROR(K785/J785,0)</f>
        <v>0.58183593524307</v>
      </c>
      <c r="T785" s="12" t="s">
        <v>30</v>
      </c>
    </row>
    <row r="786" customFormat="false" ht="15" hidden="false" customHeight="false" outlineLevel="0" collapsed="false">
      <c r="A786" s="3" t="s">
        <v>819</v>
      </c>
      <c r="B786" s="3" t="s">
        <v>29</v>
      </c>
      <c r="C786" s="3" t="n">
        <v>3734</v>
      </c>
      <c r="D786" s="3" t="n">
        <v>285</v>
      </c>
      <c r="E786" s="3" t="n">
        <v>1525</v>
      </c>
      <c r="F786" s="3" t="n">
        <v>7568</v>
      </c>
      <c r="G786" s="3" t="n">
        <v>8</v>
      </c>
      <c r="H786" s="3" t="n">
        <v>923458.7</v>
      </c>
      <c r="I786" s="3" t="n">
        <v>1529</v>
      </c>
      <c r="J786" s="3" t="n">
        <v>364574</v>
      </c>
      <c r="K786" s="3" t="n">
        <v>73208</v>
      </c>
      <c r="L786" s="3" t="n">
        <v>0</v>
      </c>
      <c r="M786" s="4" t="n">
        <f aca="false">IFERROR(D786/C786,0)</f>
        <v>0.0763256561328334</v>
      </c>
      <c r="N786" s="4" t="n">
        <f aca="false">IFERROR(E786/C786,0)</f>
        <v>0.4084092126406</v>
      </c>
      <c r="O786" s="5" t="n">
        <f aca="false">IFERROR(F786/MAX(C786-D786,1),0)</f>
        <v>2.19425920556683</v>
      </c>
      <c r="P786" s="5" t="n">
        <f aca="false">IFERROR(F786/C786,0)</f>
        <v>2.02678093197643</v>
      </c>
      <c r="Q786" s="5" t="n">
        <f aca="false">IFERROR(H786/C786,0)</f>
        <v>247.31084627745</v>
      </c>
      <c r="R786" s="4" t="n">
        <f aca="false">IFERROR(I786/F786,0)</f>
        <v>0.20203488372093</v>
      </c>
      <c r="S786" s="4" t="n">
        <f aca="false">IFERROR(K786/J786,0)</f>
        <v>0.200804226302479</v>
      </c>
      <c r="T786" s="6" t="s">
        <v>23</v>
      </c>
    </row>
    <row r="787" customFormat="false" ht="15" hidden="false" customHeight="false" outlineLevel="0" collapsed="false">
      <c r="A787" s="3" t="s">
        <v>820</v>
      </c>
      <c r="B787" s="3" t="s">
        <v>26</v>
      </c>
      <c r="C787" s="3" t="n">
        <v>988</v>
      </c>
      <c r="D787" s="3" t="n">
        <v>123</v>
      </c>
      <c r="E787" s="3" t="n">
        <v>438</v>
      </c>
      <c r="F787" s="3" t="n">
        <v>2539</v>
      </c>
      <c r="G787" s="3" t="n">
        <v>8</v>
      </c>
      <c r="H787" s="3" t="n">
        <v>587854.2</v>
      </c>
      <c r="I787" s="3" t="n">
        <v>548</v>
      </c>
      <c r="J787" s="3" t="n">
        <v>163276</v>
      </c>
      <c r="K787" s="3" t="n">
        <v>40621</v>
      </c>
      <c r="L787" s="3" t="n">
        <v>370</v>
      </c>
      <c r="M787" s="4" t="n">
        <f aca="false">IFERROR(D787/C787,0)</f>
        <v>0.124493927125506</v>
      </c>
      <c r="N787" s="4" t="n">
        <f aca="false">IFERROR(E787/C787,0)</f>
        <v>0.44331983805668</v>
      </c>
      <c r="O787" s="5" t="n">
        <f aca="false">IFERROR(F787/MAX(C787-D787,1),0)</f>
        <v>2.93526011560694</v>
      </c>
      <c r="P787" s="5" t="n">
        <f aca="false">IFERROR(F787/C787,0)</f>
        <v>2.56983805668016</v>
      </c>
      <c r="Q787" s="5" t="n">
        <f aca="false">IFERROR(H787/C787,0)</f>
        <v>594.994129554656</v>
      </c>
      <c r="R787" s="4" t="n">
        <f aca="false">IFERROR(I787/F787,0)</f>
        <v>0.215833005120126</v>
      </c>
      <c r="S787" s="4" t="n">
        <f aca="false">IFERROR(K787/J787,0)</f>
        <v>0.248787329429922</v>
      </c>
      <c r="T787" s="6" t="s">
        <v>23</v>
      </c>
    </row>
    <row r="788" customFormat="false" ht="15" hidden="false" customHeight="false" outlineLevel="0" collapsed="false">
      <c r="A788" s="9" t="s">
        <v>821</v>
      </c>
      <c r="B788" s="9" t="s">
        <v>29</v>
      </c>
      <c r="C788" s="9" t="n">
        <v>300</v>
      </c>
      <c r="D788" s="9" t="n">
        <v>96</v>
      </c>
      <c r="E788" s="9" t="n">
        <v>148</v>
      </c>
      <c r="F788" s="9" t="n">
        <v>2053</v>
      </c>
      <c r="G788" s="9" t="n">
        <v>20</v>
      </c>
      <c r="H788" s="9" t="n">
        <v>197338</v>
      </c>
      <c r="I788" s="9" t="n">
        <v>1665</v>
      </c>
      <c r="J788" s="9" t="n">
        <v>35055</v>
      </c>
      <c r="K788" s="9" t="n">
        <v>25260</v>
      </c>
      <c r="L788" s="9" t="n">
        <v>0</v>
      </c>
      <c r="M788" s="10" t="n">
        <f aca="false">IFERROR(D788/C788,0)</f>
        <v>0.32</v>
      </c>
      <c r="N788" s="10" t="n">
        <f aca="false">IFERROR(E788/C788,0)</f>
        <v>0.493333333333333</v>
      </c>
      <c r="O788" s="11" t="n">
        <f aca="false">IFERROR(F788/MAX(C788-D788,1),0)</f>
        <v>10.0637254901961</v>
      </c>
      <c r="P788" s="11" t="n">
        <f aca="false">IFERROR(F788/C788,0)</f>
        <v>6.84333333333333</v>
      </c>
      <c r="Q788" s="11" t="n">
        <f aca="false">IFERROR(H788/C788,0)</f>
        <v>657.793333333333</v>
      </c>
      <c r="R788" s="10" t="n">
        <f aca="false">IFERROR(I788/F788,0)</f>
        <v>0.811008280565027</v>
      </c>
      <c r="S788" s="10" t="n">
        <f aca="false">IFERROR(K788/J788,0)</f>
        <v>0.720581942661532</v>
      </c>
      <c r="T788" s="12" t="s">
        <v>30</v>
      </c>
    </row>
    <row r="789" customFormat="false" ht="15" hidden="false" customHeight="false" outlineLevel="0" collapsed="false">
      <c r="A789" s="9" t="s">
        <v>822</v>
      </c>
      <c r="B789" s="9" t="s">
        <v>29</v>
      </c>
      <c r="C789" s="9" t="n">
        <v>2253</v>
      </c>
      <c r="D789" s="9" t="n">
        <v>816</v>
      </c>
      <c r="E789" s="9" t="n">
        <v>1378</v>
      </c>
      <c r="F789" s="9" t="n">
        <v>16800</v>
      </c>
      <c r="G789" s="9" t="n">
        <v>22</v>
      </c>
      <c r="H789" s="9" t="n">
        <v>1915384.1</v>
      </c>
      <c r="I789" s="9" t="n">
        <v>11404</v>
      </c>
      <c r="J789" s="9" t="n">
        <v>330759</v>
      </c>
      <c r="K789" s="9" t="n">
        <v>224060</v>
      </c>
      <c r="L789" s="9" t="n">
        <v>0</v>
      </c>
      <c r="M789" s="10" t="n">
        <f aca="false">IFERROR(D789/C789,0)</f>
        <v>0.362183754993342</v>
      </c>
      <c r="N789" s="10" t="n">
        <f aca="false">IFERROR(E789/C789,0)</f>
        <v>0.611628939192188</v>
      </c>
      <c r="O789" s="11" t="n">
        <f aca="false">IFERROR(F789/MAX(C789-D789,1),0)</f>
        <v>11.6910229645094</v>
      </c>
      <c r="P789" s="11" t="n">
        <f aca="false">IFERROR(F789/C789,0)</f>
        <v>7.45672436750999</v>
      </c>
      <c r="Q789" s="11" t="n">
        <f aca="false">IFERROR(H789/C789,0)</f>
        <v>850.148291167332</v>
      </c>
      <c r="R789" s="10" t="n">
        <f aca="false">IFERROR(I789/F789,0)</f>
        <v>0.678809523809524</v>
      </c>
      <c r="S789" s="10" t="n">
        <f aca="false">IFERROR(K789/J789,0)</f>
        <v>0.677411650174296</v>
      </c>
      <c r="T789" s="12" t="s">
        <v>30</v>
      </c>
    </row>
    <row r="790" customFormat="false" ht="15" hidden="false" customHeight="false" outlineLevel="0" collapsed="false">
      <c r="A790" s="3" t="s">
        <v>823</v>
      </c>
      <c r="B790" s="3" t="s">
        <v>22</v>
      </c>
      <c r="C790" s="3" t="n">
        <v>3094</v>
      </c>
      <c r="D790" s="3" t="n">
        <v>331</v>
      </c>
      <c r="E790" s="3" t="n">
        <v>807</v>
      </c>
      <c r="F790" s="3" t="n">
        <v>9898</v>
      </c>
      <c r="G790" s="3" t="n">
        <v>16</v>
      </c>
      <c r="H790" s="3" t="n">
        <v>1290166.4</v>
      </c>
      <c r="I790" s="3" t="n">
        <v>2005</v>
      </c>
      <c r="J790" s="3" t="n">
        <v>524745</v>
      </c>
      <c r="K790" s="3" t="n">
        <v>71181</v>
      </c>
      <c r="L790" s="3" t="n">
        <v>1121</v>
      </c>
      <c r="M790" s="4" t="n">
        <f aca="false">IFERROR(D790/C790,0)</f>
        <v>0.106981254040078</v>
      </c>
      <c r="N790" s="4" t="n">
        <f aca="false">IFERROR(E790/C790,0)</f>
        <v>0.260827407886231</v>
      </c>
      <c r="O790" s="5" t="n">
        <f aca="false">IFERROR(F790/MAX(C790-D790,1),0)</f>
        <v>3.5823380383641</v>
      </c>
      <c r="P790" s="5" t="n">
        <f aca="false">IFERROR(F790/C790,0)</f>
        <v>3.19909502262443</v>
      </c>
      <c r="Q790" s="5" t="n">
        <f aca="false">IFERROR(H790/C790,0)</f>
        <v>416.989786683904</v>
      </c>
      <c r="R790" s="4" t="n">
        <f aca="false">IFERROR(I790/F790,0)</f>
        <v>0.202566174984845</v>
      </c>
      <c r="S790" s="4" t="n">
        <f aca="false">IFERROR(K790/J790,0)</f>
        <v>0.1356487436755</v>
      </c>
      <c r="T790" s="6" t="s">
        <v>23</v>
      </c>
    </row>
    <row r="791" customFormat="false" ht="15" hidden="false" customHeight="false" outlineLevel="0" collapsed="false">
      <c r="A791" s="3" t="s">
        <v>824</v>
      </c>
      <c r="B791" s="3" t="s">
        <v>22</v>
      </c>
      <c r="C791" s="3" t="n">
        <v>1018</v>
      </c>
      <c r="D791" s="3" t="n">
        <v>131</v>
      </c>
      <c r="E791" s="3" t="n">
        <v>433</v>
      </c>
      <c r="F791" s="3" t="n">
        <v>4012</v>
      </c>
      <c r="G791" s="3" t="n">
        <v>20</v>
      </c>
      <c r="H791" s="3" t="n">
        <v>683072.4</v>
      </c>
      <c r="I791" s="3" t="n">
        <v>1002</v>
      </c>
      <c r="J791" s="3" t="n">
        <v>71902</v>
      </c>
      <c r="K791" s="3" t="n">
        <v>14120</v>
      </c>
      <c r="L791" s="3" t="n">
        <v>514</v>
      </c>
      <c r="M791" s="4" t="n">
        <f aca="false">IFERROR(D791/C791,0)</f>
        <v>0.128683693516699</v>
      </c>
      <c r="N791" s="4" t="n">
        <f aca="false">IFERROR(E791/C791,0)</f>
        <v>0.425343811394892</v>
      </c>
      <c r="O791" s="5" t="n">
        <f aca="false">IFERROR(F791/MAX(C791-D791,1),0)</f>
        <v>4.52311161217587</v>
      </c>
      <c r="P791" s="5" t="n">
        <f aca="false">IFERROR(F791/C791,0)</f>
        <v>3.94106090373281</v>
      </c>
      <c r="Q791" s="5" t="n">
        <f aca="false">IFERROR(H791/C791,0)</f>
        <v>670.994499017682</v>
      </c>
      <c r="R791" s="4" t="n">
        <f aca="false">IFERROR(I791/F791,0)</f>
        <v>0.24975074775673</v>
      </c>
      <c r="S791" s="4" t="n">
        <f aca="false">IFERROR(K791/J791,0)</f>
        <v>0.196378403938694</v>
      </c>
      <c r="T791" s="6" t="s">
        <v>23</v>
      </c>
    </row>
    <row r="792" customFormat="false" ht="15" hidden="false" customHeight="false" outlineLevel="0" collapsed="false">
      <c r="A792" s="3" t="s">
        <v>825</v>
      </c>
      <c r="B792" s="3" t="s">
        <v>29</v>
      </c>
      <c r="C792" s="3" t="n">
        <v>424</v>
      </c>
      <c r="D792" s="3" t="n">
        <v>51</v>
      </c>
      <c r="E792" s="3" t="n">
        <v>140</v>
      </c>
      <c r="F792" s="3" t="n">
        <v>1130</v>
      </c>
      <c r="G792" s="3" t="n">
        <v>13</v>
      </c>
      <c r="H792" s="3" t="n">
        <v>105116</v>
      </c>
      <c r="I792" s="3" t="n">
        <v>154</v>
      </c>
      <c r="J792" s="3" t="n">
        <v>33725</v>
      </c>
      <c r="K792" s="3" t="n">
        <v>8842</v>
      </c>
      <c r="L792" s="3" t="n">
        <v>0</v>
      </c>
      <c r="M792" s="4" t="n">
        <f aca="false">IFERROR(D792/C792,0)</f>
        <v>0.120283018867925</v>
      </c>
      <c r="N792" s="4" t="n">
        <f aca="false">IFERROR(E792/C792,0)</f>
        <v>0.330188679245283</v>
      </c>
      <c r="O792" s="5" t="n">
        <f aca="false">IFERROR(F792/MAX(C792-D792,1),0)</f>
        <v>3.02949061662198</v>
      </c>
      <c r="P792" s="5" t="n">
        <f aca="false">IFERROR(F792/C792,0)</f>
        <v>2.66509433962264</v>
      </c>
      <c r="Q792" s="5" t="n">
        <f aca="false">IFERROR(H792/C792,0)</f>
        <v>247.915094339623</v>
      </c>
      <c r="R792" s="4" t="n">
        <f aca="false">IFERROR(I792/F792,0)</f>
        <v>0.136283185840708</v>
      </c>
      <c r="S792" s="4" t="n">
        <f aca="false">IFERROR(K792/J792,0)</f>
        <v>0.262179392142328</v>
      </c>
      <c r="T792" s="6" t="s">
        <v>23</v>
      </c>
    </row>
    <row r="793" customFormat="false" ht="15" hidden="false" customHeight="false" outlineLevel="0" collapsed="false">
      <c r="A793" s="9" t="s">
        <v>826</v>
      </c>
      <c r="B793" s="9" t="s">
        <v>22</v>
      </c>
      <c r="C793" s="9" t="n">
        <v>2927</v>
      </c>
      <c r="D793" s="9" t="n">
        <v>1139</v>
      </c>
      <c r="E793" s="9" t="n">
        <v>2063</v>
      </c>
      <c r="F793" s="9" t="n">
        <v>27440</v>
      </c>
      <c r="G793" s="9" t="n">
        <v>33</v>
      </c>
      <c r="H793" s="9" t="n">
        <v>3220494.8</v>
      </c>
      <c r="I793" s="9" t="n">
        <v>14763</v>
      </c>
      <c r="J793" s="9" t="n">
        <v>206774</v>
      </c>
      <c r="K793" s="9" t="n">
        <v>114241</v>
      </c>
      <c r="L793" s="9" t="n">
        <v>980</v>
      </c>
      <c r="M793" s="10" t="n">
        <f aca="false">IFERROR(D793/C793,0)</f>
        <v>0.389135633754698</v>
      </c>
      <c r="N793" s="10" t="n">
        <f aca="false">IFERROR(E793/C793,0)</f>
        <v>0.704817218995559</v>
      </c>
      <c r="O793" s="11" t="n">
        <f aca="false">IFERROR(F793/MAX(C793-D793,1),0)</f>
        <v>15.3467561521253</v>
      </c>
      <c r="P793" s="11" t="n">
        <f aca="false">IFERROR(F793/C793,0)</f>
        <v>9.3747864707892</v>
      </c>
      <c r="Q793" s="11" t="n">
        <f aca="false">IFERROR(H793/C793,0)</f>
        <v>1100.27154082679</v>
      </c>
      <c r="R793" s="10" t="n">
        <f aca="false">IFERROR(I793/F793,0)</f>
        <v>0.538010204081633</v>
      </c>
      <c r="S793" s="10" t="n">
        <f aca="false">IFERROR(K793/J793,0)</f>
        <v>0.552492092816312</v>
      </c>
      <c r="T793" s="12" t="s">
        <v>30</v>
      </c>
    </row>
    <row r="794" customFormat="false" ht="15" hidden="false" customHeight="false" outlineLevel="0" collapsed="false">
      <c r="A794" s="3" t="s">
        <v>827</v>
      </c>
      <c r="B794" s="3" t="s">
        <v>29</v>
      </c>
      <c r="C794" s="3" t="n">
        <v>1622</v>
      </c>
      <c r="D794" s="3" t="n">
        <v>105</v>
      </c>
      <c r="E794" s="3" t="n">
        <v>476</v>
      </c>
      <c r="F794" s="3" t="n">
        <v>3346</v>
      </c>
      <c r="G794" s="3" t="n">
        <v>10</v>
      </c>
      <c r="H794" s="3" t="n">
        <v>797409</v>
      </c>
      <c r="I794" s="3" t="n">
        <v>536</v>
      </c>
      <c r="J794" s="3" t="n">
        <v>145458</v>
      </c>
      <c r="K794" s="3" t="n">
        <v>29682</v>
      </c>
      <c r="L794" s="3" t="n">
        <v>0</v>
      </c>
      <c r="M794" s="4" t="n">
        <f aca="false">IFERROR(D794/C794,0)</f>
        <v>0.0647348951911221</v>
      </c>
      <c r="N794" s="4" t="n">
        <f aca="false">IFERROR(E794/C794,0)</f>
        <v>0.293464858199753</v>
      </c>
      <c r="O794" s="5" t="n">
        <f aca="false">IFERROR(F794/MAX(C794-D794,1),0)</f>
        <v>2.20566908371786</v>
      </c>
      <c r="P794" s="5" t="n">
        <f aca="false">IFERROR(F794/C794,0)</f>
        <v>2.06288532675709</v>
      </c>
      <c r="Q794" s="5" t="n">
        <f aca="false">IFERROR(H794/C794,0)</f>
        <v>491.620838471023</v>
      </c>
      <c r="R794" s="4" t="n">
        <f aca="false">IFERROR(I794/F794,0)</f>
        <v>0.160191273161984</v>
      </c>
      <c r="S794" s="4" t="n">
        <f aca="false">IFERROR(K794/J794,0)</f>
        <v>0.204058903601039</v>
      </c>
      <c r="T794" s="6" t="s">
        <v>23</v>
      </c>
    </row>
    <row r="795" customFormat="false" ht="15" hidden="false" customHeight="false" outlineLevel="0" collapsed="false">
      <c r="A795" s="3" t="s">
        <v>828</v>
      </c>
      <c r="B795" s="3" t="s">
        <v>22</v>
      </c>
      <c r="C795" s="3" t="n">
        <v>3278</v>
      </c>
      <c r="D795" s="3" t="n">
        <v>547</v>
      </c>
      <c r="E795" s="3" t="n">
        <v>1461</v>
      </c>
      <c r="F795" s="3" t="n">
        <v>11724</v>
      </c>
      <c r="G795" s="3" t="n">
        <v>15</v>
      </c>
      <c r="H795" s="3" t="n">
        <v>1984240.7</v>
      </c>
      <c r="I795" s="3" t="n">
        <v>2641</v>
      </c>
      <c r="J795" s="3" t="n">
        <v>242132</v>
      </c>
      <c r="K795" s="3" t="n">
        <v>44452</v>
      </c>
      <c r="L795" s="3" t="n">
        <v>767</v>
      </c>
      <c r="M795" s="4" t="n">
        <f aca="false">IFERROR(D795/C795,0)</f>
        <v>0.166870042708969</v>
      </c>
      <c r="N795" s="4" t="n">
        <f aca="false">IFERROR(E795/C795,0)</f>
        <v>0.445698596705308</v>
      </c>
      <c r="O795" s="5" t="n">
        <f aca="false">IFERROR(F795/MAX(C795-D795,1),0)</f>
        <v>4.29293299157818</v>
      </c>
      <c r="P795" s="5" t="n">
        <f aca="false">IFERROR(F795/C795,0)</f>
        <v>3.57657107992678</v>
      </c>
      <c r="Q795" s="5" t="n">
        <f aca="false">IFERROR(H795/C795,0)</f>
        <v>605.32053081147</v>
      </c>
      <c r="R795" s="4" t="n">
        <f aca="false">IFERROR(I795/F795,0)</f>
        <v>0.225264414875469</v>
      </c>
      <c r="S795" s="4" t="n">
        <f aca="false">IFERROR(K795/J795,0)</f>
        <v>0.183585812697206</v>
      </c>
      <c r="T795" s="6" t="s">
        <v>23</v>
      </c>
    </row>
    <row r="796" customFormat="false" ht="15" hidden="false" customHeight="false" outlineLevel="0" collapsed="false">
      <c r="A796" s="9" t="s">
        <v>829</v>
      </c>
      <c r="B796" s="9" t="s">
        <v>22</v>
      </c>
      <c r="C796" s="9" t="n">
        <v>780</v>
      </c>
      <c r="D796" s="9" t="n">
        <v>372</v>
      </c>
      <c r="E796" s="9" t="n">
        <v>612</v>
      </c>
      <c r="F796" s="9" t="n">
        <v>7927</v>
      </c>
      <c r="G796" s="9" t="n">
        <v>31</v>
      </c>
      <c r="H796" s="9" t="n">
        <v>740111.4</v>
      </c>
      <c r="I796" s="9" t="n">
        <v>7259</v>
      </c>
      <c r="J796" s="9" t="n">
        <v>123704</v>
      </c>
      <c r="K796" s="9" t="n">
        <v>78712</v>
      </c>
      <c r="L796" s="9" t="n">
        <v>117</v>
      </c>
      <c r="M796" s="10" t="n">
        <f aca="false">IFERROR(D796/C796,0)</f>
        <v>0.476923076923077</v>
      </c>
      <c r="N796" s="10" t="n">
        <f aca="false">IFERROR(E796/C796,0)</f>
        <v>0.784615384615385</v>
      </c>
      <c r="O796" s="11" t="n">
        <f aca="false">IFERROR(F796/MAX(C796-D796,1),0)</f>
        <v>19.4289215686275</v>
      </c>
      <c r="P796" s="11" t="n">
        <f aca="false">IFERROR(F796/C796,0)</f>
        <v>10.1628205128205</v>
      </c>
      <c r="Q796" s="11" t="n">
        <f aca="false">IFERROR(H796/C796,0)</f>
        <v>948.860769230769</v>
      </c>
      <c r="R796" s="10" t="n">
        <f aca="false">IFERROR(I796/F796,0)</f>
        <v>0.91573104579286</v>
      </c>
      <c r="S796" s="10" t="n">
        <f aca="false">IFERROR(K796/J796,0)</f>
        <v>0.636293086723146</v>
      </c>
      <c r="T796" s="12" t="s">
        <v>30</v>
      </c>
    </row>
    <row r="797" customFormat="false" ht="15" hidden="false" customHeight="false" outlineLevel="0" collapsed="false">
      <c r="A797" s="9" t="s">
        <v>830</v>
      </c>
      <c r="B797" s="9" t="s">
        <v>22</v>
      </c>
      <c r="C797" s="9" t="n">
        <v>1741</v>
      </c>
      <c r="D797" s="9" t="n">
        <v>254</v>
      </c>
      <c r="E797" s="9" t="n">
        <v>561</v>
      </c>
      <c r="F797" s="9" t="n">
        <v>16921</v>
      </c>
      <c r="G797" s="9" t="n">
        <v>30</v>
      </c>
      <c r="H797" s="9" t="n">
        <v>1051804.9</v>
      </c>
      <c r="I797" s="9" t="n">
        <v>11431</v>
      </c>
      <c r="J797" s="9" t="n">
        <v>267815</v>
      </c>
      <c r="K797" s="9" t="n">
        <v>157563</v>
      </c>
      <c r="L797" s="9" t="n">
        <v>188</v>
      </c>
      <c r="M797" s="10" t="n">
        <f aca="false">IFERROR(D797/C797,0)</f>
        <v>0.145893164847789</v>
      </c>
      <c r="N797" s="10" t="n">
        <f aca="false">IFERROR(E797/C797,0)</f>
        <v>0.322228604250431</v>
      </c>
      <c r="O797" s="11" t="n">
        <f aca="false">IFERROR(F797/MAX(C797-D797,1),0)</f>
        <v>11.3792871553463</v>
      </c>
      <c r="P797" s="11" t="n">
        <f aca="false">IFERROR(F797/C797,0)</f>
        <v>9.71912693854107</v>
      </c>
      <c r="Q797" s="11" t="n">
        <f aca="false">IFERROR(H797/C797,0)</f>
        <v>604.13836875359</v>
      </c>
      <c r="R797" s="10" t="n">
        <f aca="false">IFERROR(I797/F797,0)</f>
        <v>0.67555109036109</v>
      </c>
      <c r="S797" s="10" t="n">
        <f aca="false">IFERROR(K797/J797,0)</f>
        <v>0.588327763568135</v>
      </c>
      <c r="T797" s="12" t="s">
        <v>30</v>
      </c>
    </row>
    <row r="798" customFormat="false" ht="15" hidden="false" customHeight="false" outlineLevel="0" collapsed="false">
      <c r="A798" s="9" t="s">
        <v>831</v>
      </c>
      <c r="B798" s="9" t="s">
        <v>26</v>
      </c>
      <c r="C798" s="9" t="n">
        <v>3195</v>
      </c>
      <c r="D798" s="9" t="n">
        <v>1340</v>
      </c>
      <c r="E798" s="9" t="n">
        <v>2024</v>
      </c>
      <c r="F798" s="9" t="n">
        <v>25082</v>
      </c>
      <c r="G798" s="9" t="n">
        <v>24</v>
      </c>
      <c r="H798" s="9" t="n">
        <v>3323064.2</v>
      </c>
      <c r="I798" s="9" t="n">
        <v>17010</v>
      </c>
      <c r="J798" s="9" t="n">
        <v>417137</v>
      </c>
      <c r="K798" s="9" t="n">
        <v>278902</v>
      </c>
      <c r="L798" s="9" t="n">
        <v>1530</v>
      </c>
      <c r="M798" s="10" t="n">
        <f aca="false">IFERROR(D798/C798,0)</f>
        <v>0.419405320813772</v>
      </c>
      <c r="N798" s="10" t="n">
        <f aca="false">IFERROR(E798/C798,0)</f>
        <v>0.633489827856025</v>
      </c>
      <c r="O798" s="11" t="n">
        <f aca="false">IFERROR(F798/MAX(C798-D798,1),0)</f>
        <v>13.5212938005391</v>
      </c>
      <c r="P798" s="11" t="n">
        <f aca="false">IFERROR(F798/C798,0)</f>
        <v>7.85039123630673</v>
      </c>
      <c r="Q798" s="11" t="n">
        <f aca="false">IFERROR(H798/C798,0)</f>
        <v>1040.08269170579</v>
      </c>
      <c r="R798" s="10" t="n">
        <f aca="false">IFERROR(I798/F798,0)</f>
        <v>0.678175584084204</v>
      </c>
      <c r="S798" s="10" t="n">
        <f aca="false">IFERROR(K798/J798,0)</f>
        <v>0.668610072949655</v>
      </c>
      <c r="T798" s="12" t="s">
        <v>30</v>
      </c>
    </row>
    <row r="799" customFormat="false" ht="15" hidden="false" customHeight="false" outlineLevel="0" collapsed="false">
      <c r="A799" s="3" t="s">
        <v>832</v>
      </c>
      <c r="B799" s="3" t="s">
        <v>29</v>
      </c>
      <c r="C799" s="3" t="n">
        <v>181</v>
      </c>
      <c r="D799" s="3" t="n">
        <v>5</v>
      </c>
      <c r="E799" s="3" t="n">
        <v>67</v>
      </c>
      <c r="F799" s="3" t="n">
        <v>424</v>
      </c>
      <c r="G799" s="3" t="n">
        <v>4</v>
      </c>
      <c r="H799" s="3" t="n">
        <v>26640.8</v>
      </c>
      <c r="I799" s="3" t="n">
        <v>68</v>
      </c>
      <c r="J799" s="3" t="n">
        <v>23021</v>
      </c>
      <c r="K799" s="3" t="n">
        <v>2279</v>
      </c>
      <c r="L799" s="3" t="n">
        <v>0</v>
      </c>
      <c r="M799" s="4" t="n">
        <f aca="false">IFERROR(D799/C799,0)</f>
        <v>0.0276243093922652</v>
      </c>
      <c r="N799" s="4" t="n">
        <f aca="false">IFERROR(E799/C799,0)</f>
        <v>0.370165745856354</v>
      </c>
      <c r="O799" s="5" t="n">
        <f aca="false">IFERROR(F799/MAX(C799-D799,1),0)</f>
        <v>2.40909090909091</v>
      </c>
      <c r="P799" s="5" t="n">
        <f aca="false">IFERROR(F799/C799,0)</f>
        <v>2.34254143646409</v>
      </c>
      <c r="Q799" s="5" t="n">
        <f aca="false">IFERROR(H799/C799,0)</f>
        <v>147.186740331492</v>
      </c>
      <c r="R799" s="4" t="n">
        <f aca="false">IFERROR(I799/F799,0)</f>
        <v>0.160377358490566</v>
      </c>
      <c r="S799" s="4" t="n">
        <f aca="false">IFERROR(K799/J799,0)</f>
        <v>0.0989965683506364</v>
      </c>
      <c r="T799" s="6" t="s">
        <v>23</v>
      </c>
    </row>
    <row r="800" customFormat="false" ht="15" hidden="false" customHeight="false" outlineLevel="0" collapsed="false">
      <c r="A800" s="3" t="s">
        <v>833</v>
      </c>
      <c r="B800" s="3" t="s">
        <v>29</v>
      </c>
      <c r="C800" s="3" t="n">
        <v>1562</v>
      </c>
      <c r="D800" s="3" t="n">
        <v>154</v>
      </c>
      <c r="E800" s="3" t="n">
        <v>579</v>
      </c>
      <c r="F800" s="3" t="n">
        <v>4891</v>
      </c>
      <c r="G800" s="3" t="n">
        <v>16</v>
      </c>
      <c r="H800" s="3" t="n">
        <v>744422.2</v>
      </c>
      <c r="I800" s="3" t="n">
        <v>1139</v>
      </c>
      <c r="J800" s="3" t="n">
        <v>111228</v>
      </c>
      <c r="K800" s="3" t="n">
        <v>20699</v>
      </c>
      <c r="L800" s="3" t="n">
        <v>0</v>
      </c>
      <c r="M800" s="4" t="n">
        <f aca="false">IFERROR(D800/C800,0)</f>
        <v>0.0985915492957746</v>
      </c>
      <c r="N800" s="4" t="n">
        <f aca="false">IFERROR(E800/C800,0)</f>
        <v>0.37067861715749</v>
      </c>
      <c r="O800" s="5" t="n">
        <f aca="false">IFERROR(F800/MAX(C800-D800,1),0)</f>
        <v>3.47372159090909</v>
      </c>
      <c r="P800" s="5" t="n">
        <f aca="false">IFERROR(F800/C800,0)</f>
        <v>3.13124199743918</v>
      </c>
      <c r="Q800" s="5" t="n">
        <f aca="false">IFERROR(H800/C800,0)</f>
        <v>476.58271446863</v>
      </c>
      <c r="R800" s="4" t="n">
        <f aca="false">IFERROR(I800/F800,0)</f>
        <v>0.232876712328767</v>
      </c>
      <c r="S800" s="4" t="n">
        <f aca="false">IFERROR(K800/J800,0)</f>
        <v>0.186095227820333</v>
      </c>
      <c r="T800" s="6" t="s">
        <v>23</v>
      </c>
    </row>
    <row r="801" customFormat="false" ht="15" hidden="false" customHeight="false" outlineLevel="0" collapsed="false">
      <c r="A801" s="3" t="s">
        <v>834</v>
      </c>
      <c r="B801" s="3" t="s">
        <v>22</v>
      </c>
      <c r="C801" s="3" t="n">
        <v>1794</v>
      </c>
      <c r="D801" s="3" t="n">
        <v>27</v>
      </c>
      <c r="E801" s="3" t="n">
        <v>511</v>
      </c>
      <c r="F801" s="3" t="n">
        <v>3573</v>
      </c>
      <c r="G801" s="3" t="n">
        <v>9</v>
      </c>
      <c r="H801" s="3" t="n">
        <v>589890.7</v>
      </c>
      <c r="I801" s="3" t="n">
        <v>490</v>
      </c>
      <c r="J801" s="3" t="n">
        <v>327122</v>
      </c>
      <c r="K801" s="3" t="n">
        <v>38435</v>
      </c>
      <c r="L801" s="3" t="n">
        <v>301</v>
      </c>
      <c r="M801" s="4" t="n">
        <f aca="false">IFERROR(D801/C801,0)</f>
        <v>0.0150501672240803</v>
      </c>
      <c r="N801" s="4" t="n">
        <f aca="false">IFERROR(E801/C801,0)</f>
        <v>0.284838350055741</v>
      </c>
      <c r="O801" s="5" t="n">
        <f aca="false">IFERROR(F801/MAX(C801-D801,1),0)</f>
        <v>2.02207130730051</v>
      </c>
      <c r="P801" s="5" t="n">
        <f aca="false">IFERROR(F801/C801,0)</f>
        <v>1.99163879598662</v>
      </c>
      <c r="Q801" s="5" t="n">
        <f aca="false">IFERROR(H801/C801,0)</f>
        <v>328.813099219621</v>
      </c>
      <c r="R801" s="4" t="n">
        <f aca="false">IFERROR(I801/F801,0)</f>
        <v>0.137139658550238</v>
      </c>
      <c r="S801" s="4" t="n">
        <f aca="false">IFERROR(K801/J801,0)</f>
        <v>0.117494390472056</v>
      </c>
      <c r="T801" s="6" t="s">
        <v>23</v>
      </c>
    </row>
    <row r="802" customFormat="false" ht="15" hidden="false" customHeight="false" outlineLevel="0" collapsed="false">
      <c r="A802" s="9" t="s">
        <v>835</v>
      </c>
      <c r="B802" s="9" t="s">
        <v>26</v>
      </c>
      <c r="C802" s="9" t="n">
        <v>702</v>
      </c>
      <c r="D802" s="9" t="n">
        <v>218</v>
      </c>
      <c r="E802" s="9" t="n">
        <v>461</v>
      </c>
      <c r="F802" s="9" t="n">
        <v>5563</v>
      </c>
      <c r="G802" s="9" t="n">
        <v>27</v>
      </c>
      <c r="H802" s="9" t="n">
        <v>645496.1</v>
      </c>
      <c r="I802" s="9" t="n">
        <v>4200</v>
      </c>
      <c r="J802" s="9" t="n">
        <v>100750</v>
      </c>
      <c r="K802" s="9" t="n">
        <v>54919</v>
      </c>
      <c r="L802" s="9" t="n">
        <v>278</v>
      </c>
      <c r="M802" s="10" t="n">
        <f aca="false">IFERROR(D802/C802,0)</f>
        <v>0.310541310541311</v>
      </c>
      <c r="N802" s="10" t="n">
        <f aca="false">IFERROR(E802/C802,0)</f>
        <v>0.656695156695157</v>
      </c>
      <c r="O802" s="11" t="n">
        <f aca="false">IFERROR(F802/MAX(C802-D802,1),0)</f>
        <v>11.4938016528926</v>
      </c>
      <c r="P802" s="11" t="n">
        <f aca="false">IFERROR(F802/C802,0)</f>
        <v>7.92450142450142</v>
      </c>
      <c r="Q802" s="11" t="n">
        <f aca="false">IFERROR(H802/C802,0)</f>
        <v>919.510113960114</v>
      </c>
      <c r="R802" s="10" t="n">
        <f aca="false">IFERROR(I802/F802,0)</f>
        <v>0.75498831565702</v>
      </c>
      <c r="S802" s="10" t="n">
        <f aca="false">IFERROR(K802/J802,0)</f>
        <v>0.545101736972705</v>
      </c>
      <c r="T802" s="12" t="s">
        <v>30</v>
      </c>
    </row>
    <row r="803" customFormat="false" ht="15" hidden="false" customHeight="false" outlineLevel="0" collapsed="false">
      <c r="A803" s="9" t="s">
        <v>836</v>
      </c>
      <c r="B803" s="9" t="s">
        <v>29</v>
      </c>
      <c r="C803" s="9" t="n">
        <v>1720</v>
      </c>
      <c r="D803" s="9" t="n">
        <v>715</v>
      </c>
      <c r="E803" s="9" t="n">
        <v>1057</v>
      </c>
      <c r="F803" s="9" t="n">
        <v>10893</v>
      </c>
      <c r="G803" s="9" t="n">
        <v>23</v>
      </c>
      <c r="H803" s="9" t="n">
        <v>1415577.9</v>
      </c>
      <c r="I803" s="9" t="n">
        <v>8423</v>
      </c>
      <c r="J803" s="9" t="n">
        <v>307441</v>
      </c>
      <c r="K803" s="9" t="n">
        <v>190973</v>
      </c>
      <c r="L803" s="9" t="n">
        <v>0</v>
      </c>
      <c r="M803" s="10" t="n">
        <f aca="false">IFERROR(D803/C803,0)</f>
        <v>0.415697674418605</v>
      </c>
      <c r="N803" s="10" t="n">
        <f aca="false">IFERROR(E803/C803,0)</f>
        <v>0.61453488372093</v>
      </c>
      <c r="O803" s="11" t="n">
        <f aca="false">IFERROR(F803/MAX(C803-D803,1),0)</f>
        <v>10.8388059701493</v>
      </c>
      <c r="P803" s="11" t="n">
        <f aca="false">IFERROR(F803/C803,0)</f>
        <v>6.33313953488372</v>
      </c>
      <c r="Q803" s="11" t="n">
        <f aca="false">IFERROR(H803/C803,0)</f>
        <v>823.010406976744</v>
      </c>
      <c r="R803" s="10" t="n">
        <f aca="false">IFERROR(I803/F803,0)</f>
        <v>0.773248875424585</v>
      </c>
      <c r="S803" s="10" t="n">
        <f aca="false">IFERROR(K803/J803,0)</f>
        <v>0.621169590262847</v>
      </c>
      <c r="T803" s="12" t="s">
        <v>30</v>
      </c>
    </row>
    <row r="804" customFormat="false" ht="15" hidden="false" customHeight="false" outlineLevel="0" collapsed="false">
      <c r="A804" s="9" t="s">
        <v>837</v>
      </c>
      <c r="B804" s="9" t="s">
        <v>26</v>
      </c>
      <c r="C804" s="9" t="n">
        <v>1644</v>
      </c>
      <c r="D804" s="9" t="n">
        <v>282</v>
      </c>
      <c r="E804" s="9" t="n">
        <v>829</v>
      </c>
      <c r="F804" s="9" t="n">
        <v>11689</v>
      </c>
      <c r="G804" s="9" t="n">
        <v>19</v>
      </c>
      <c r="H804" s="9" t="n">
        <v>1616769.4</v>
      </c>
      <c r="I804" s="9" t="n">
        <v>9729</v>
      </c>
      <c r="J804" s="9" t="n">
        <v>119780</v>
      </c>
      <c r="K804" s="9" t="n">
        <v>41923</v>
      </c>
      <c r="L804" s="9" t="n">
        <v>700</v>
      </c>
      <c r="M804" s="10" t="n">
        <f aca="false">IFERROR(D804/C804,0)</f>
        <v>0.171532846715328</v>
      </c>
      <c r="N804" s="10" t="n">
        <f aca="false">IFERROR(E804/C804,0)</f>
        <v>0.504257907542579</v>
      </c>
      <c r="O804" s="11" t="n">
        <f aca="false">IFERROR(F804/MAX(C804-D804,1),0)</f>
        <v>8.58223201174743</v>
      </c>
      <c r="P804" s="11" t="n">
        <f aca="false">IFERROR(F804/C804,0)</f>
        <v>7.11009732360097</v>
      </c>
      <c r="Q804" s="11" t="n">
        <f aca="false">IFERROR(H804/C804,0)</f>
        <v>983.436374695864</v>
      </c>
      <c r="R804" s="10" t="n">
        <f aca="false">IFERROR(I804/F804,0)</f>
        <v>0.832320985541963</v>
      </c>
      <c r="S804" s="10" t="n">
        <f aca="false">IFERROR(K804/J804,0)</f>
        <v>0.35</v>
      </c>
      <c r="T804" s="12" t="s">
        <v>30</v>
      </c>
    </row>
    <row r="805" customFormat="false" ht="15" hidden="false" customHeight="false" outlineLevel="0" collapsed="false">
      <c r="A805" s="3" t="s">
        <v>838</v>
      </c>
      <c r="B805" s="3" t="s">
        <v>22</v>
      </c>
      <c r="C805" s="3" t="n">
        <v>3174</v>
      </c>
      <c r="D805" s="3" t="n">
        <v>229</v>
      </c>
      <c r="E805" s="3" t="n">
        <v>769</v>
      </c>
      <c r="F805" s="3" t="n">
        <v>5937</v>
      </c>
      <c r="G805" s="3" t="n">
        <v>8</v>
      </c>
      <c r="H805" s="3" t="n">
        <v>1556422.6</v>
      </c>
      <c r="I805" s="3" t="n">
        <v>1169</v>
      </c>
      <c r="J805" s="3" t="n">
        <v>567064</v>
      </c>
      <c r="K805" s="3" t="n">
        <v>50880</v>
      </c>
      <c r="L805" s="3" t="n">
        <v>979</v>
      </c>
      <c r="M805" s="4" t="n">
        <f aca="false">IFERROR(D805/C805,0)</f>
        <v>0.0721487082545684</v>
      </c>
      <c r="N805" s="4" t="n">
        <f aca="false">IFERROR(E805/C805,0)</f>
        <v>0.242281033396345</v>
      </c>
      <c r="O805" s="5" t="n">
        <f aca="false">IFERROR(F805/MAX(C805-D805,1),0)</f>
        <v>2.01595925297114</v>
      </c>
      <c r="P805" s="5" t="n">
        <f aca="false">IFERROR(F805/C805,0)</f>
        <v>1.87051039697543</v>
      </c>
      <c r="Q805" s="5" t="n">
        <f aca="false">IFERROR(H805/C805,0)</f>
        <v>490.366288594833</v>
      </c>
      <c r="R805" s="4" t="n">
        <f aca="false">IFERROR(I805/F805,0)</f>
        <v>0.196900791645612</v>
      </c>
      <c r="S805" s="4" t="n">
        <f aca="false">IFERROR(K805/J805,0)</f>
        <v>0.0897253220095086</v>
      </c>
      <c r="T805" s="6" t="s">
        <v>23</v>
      </c>
    </row>
    <row r="806" customFormat="false" ht="15" hidden="false" customHeight="false" outlineLevel="0" collapsed="false">
      <c r="A806" s="9" t="s">
        <v>839</v>
      </c>
      <c r="B806" s="9" t="s">
        <v>22</v>
      </c>
      <c r="C806" s="9" t="n">
        <v>3639</v>
      </c>
      <c r="D806" s="9" t="n">
        <v>1106</v>
      </c>
      <c r="E806" s="9" t="n">
        <v>2205</v>
      </c>
      <c r="F806" s="9" t="n">
        <v>36375</v>
      </c>
      <c r="G806" s="9" t="n">
        <v>32</v>
      </c>
      <c r="H806" s="9" t="n">
        <v>4248643.2</v>
      </c>
      <c r="I806" s="9" t="n">
        <v>26515</v>
      </c>
      <c r="J806" s="9" t="n">
        <v>464806</v>
      </c>
      <c r="K806" s="9" t="n">
        <v>373608</v>
      </c>
      <c r="L806" s="9" t="n">
        <v>954</v>
      </c>
      <c r="M806" s="10" t="n">
        <f aca="false">IFERROR(D806/C806,0)</f>
        <v>0.303929651003023</v>
      </c>
      <c r="N806" s="10" t="n">
        <f aca="false">IFERROR(E806/C806,0)</f>
        <v>0.605935696619951</v>
      </c>
      <c r="O806" s="11" t="n">
        <f aca="false">IFERROR(F806/MAX(C806-D806,1),0)</f>
        <v>14.3604421634426</v>
      </c>
      <c r="P806" s="11" t="n">
        <f aca="false">IFERROR(F806/C806,0)</f>
        <v>9.99587798845837</v>
      </c>
      <c r="Q806" s="11" t="n">
        <f aca="false">IFERROR(H806/C806,0)</f>
        <v>1167.53042044518</v>
      </c>
      <c r="R806" s="10" t="n">
        <f aca="false">IFERROR(I806/F806,0)</f>
        <v>0.72893470790378</v>
      </c>
      <c r="S806" s="10" t="n">
        <f aca="false">IFERROR(K806/J806,0)</f>
        <v>0.803793410584201</v>
      </c>
      <c r="T806" s="12" t="s">
        <v>30</v>
      </c>
    </row>
    <row r="807" customFormat="false" ht="15" hidden="false" customHeight="false" outlineLevel="0" collapsed="false">
      <c r="A807" s="3" t="s">
        <v>840</v>
      </c>
      <c r="B807" s="3" t="s">
        <v>26</v>
      </c>
      <c r="C807" s="3" t="n">
        <v>3327</v>
      </c>
      <c r="D807" s="3" t="n">
        <v>495</v>
      </c>
      <c r="E807" s="3" t="n">
        <v>1421</v>
      </c>
      <c r="F807" s="3" t="n">
        <v>9794</v>
      </c>
      <c r="G807" s="3" t="n">
        <v>13</v>
      </c>
      <c r="H807" s="3" t="n">
        <v>1223652.5</v>
      </c>
      <c r="I807" s="3" t="n">
        <v>2247</v>
      </c>
      <c r="J807" s="3" t="n">
        <v>441504</v>
      </c>
      <c r="K807" s="3" t="n">
        <v>70536</v>
      </c>
      <c r="L807" s="3" t="n">
        <v>495</v>
      </c>
      <c r="M807" s="4" t="n">
        <f aca="false">IFERROR(D807/C807,0)</f>
        <v>0.1487826871055</v>
      </c>
      <c r="N807" s="4" t="n">
        <f aca="false">IFERROR(E807/C807,0)</f>
        <v>0.427111511872558</v>
      </c>
      <c r="O807" s="5" t="n">
        <f aca="false">IFERROR(F807/MAX(C807-D807,1),0)</f>
        <v>3.45833333333333</v>
      </c>
      <c r="P807" s="5" t="n">
        <f aca="false">IFERROR(F807/C807,0)</f>
        <v>2.94379320709348</v>
      </c>
      <c r="Q807" s="5" t="n">
        <f aca="false">IFERROR(H807/C807,0)</f>
        <v>367.79455966336</v>
      </c>
      <c r="R807" s="4" t="n">
        <f aca="false">IFERROR(I807/F807,0)</f>
        <v>0.229426179293445</v>
      </c>
      <c r="S807" s="4" t="n">
        <f aca="false">IFERROR(K807/J807,0)</f>
        <v>0.159762991954773</v>
      </c>
      <c r="T807" s="6" t="s">
        <v>23</v>
      </c>
    </row>
    <row r="808" customFormat="false" ht="15" hidden="false" customHeight="false" outlineLevel="0" collapsed="false">
      <c r="A808" s="9" t="s">
        <v>841</v>
      </c>
      <c r="B808" s="9" t="s">
        <v>29</v>
      </c>
      <c r="C808" s="9" t="n">
        <v>3129</v>
      </c>
      <c r="D808" s="9" t="n">
        <v>1370</v>
      </c>
      <c r="E808" s="9" t="n">
        <v>1941</v>
      </c>
      <c r="F808" s="9" t="n">
        <v>20022</v>
      </c>
      <c r="G808" s="9" t="n">
        <v>11</v>
      </c>
      <c r="H808" s="9" t="n">
        <v>3450518.8</v>
      </c>
      <c r="I808" s="9" t="n">
        <v>15136</v>
      </c>
      <c r="J808" s="9" t="n">
        <v>275071</v>
      </c>
      <c r="K808" s="9" t="n">
        <v>249240</v>
      </c>
      <c r="L808" s="9" t="n">
        <v>0</v>
      </c>
      <c r="M808" s="10" t="n">
        <f aca="false">IFERROR(D808/C808,0)</f>
        <v>0.437839565356344</v>
      </c>
      <c r="N808" s="10" t="n">
        <f aca="false">IFERROR(E808/C808,0)</f>
        <v>0.62032598274209</v>
      </c>
      <c r="O808" s="11" t="n">
        <f aca="false">IFERROR(F808/MAX(C808-D808,1),0)</f>
        <v>11.3826037521319</v>
      </c>
      <c r="P808" s="11" t="n">
        <f aca="false">IFERROR(F808/C808,0)</f>
        <v>6.39884947267498</v>
      </c>
      <c r="Q808" s="11" t="n">
        <f aca="false">IFERROR(H808/C808,0)</f>
        <v>1102.75449025248</v>
      </c>
      <c r="R808" s="10" t="n">
        <f aca="false">IFERROR(I808/F808,0)</f>
        <v>0.755968434721806</v>
      </c>
      <c r="S808" s="10" t="n">
        <f aca="false">IFERROR(K808/J808,0)</f>
        <v>0.906093335902367</v>
      </c>
      <c r="T808" s="12" t="s">
        <v>30</v>
      </c>
    </row>
    <row r="809" customFormat="false" ht="15" hidden="false" customHeight="false" outlineLevel="0" collapsed="false">
      <c r="A809" s="3" t="s">
        <v>842</v>
      </c>
      <c r="B809" s="3" t="s">
        <v>29</v>
      </c>
      <c r="C809" s="3" t="n">
        <v>1452</v>
      </c>
      <c r="D809" s="3" t="n">
        <v>205</v>
      </c>
      <c r="E809" s="3" t="n">
        <v>562</v>
      </c>
      <c r="F809" s="3" t="n">
        <v>4047</v>
      </c>
      <c r="G809" s="3" t="n">
        <v>10</v>
      </c>
      <c r="H809" s="3" t="n">
        <v>683076.9</v>
      </c>
      <c r="I809" s="3" t="n">
        <v>582</v>
      </c>
      <c r="J809" s="3" t="n">
        <v>237554</v>
      </c>
      <c r="K809" s="3" t="n">
        <v>52869</v>
      </c>
      <c r="L809" s="3" t="n">
        <v>0</v>
      </c>
      <c r="M809" s="4" t="n">
        <f aca="false">IFERROR(D809/C809,0)</f>
        <v>0.141184573002755</v>
      </c>
      <c r="N809" s="4" t="n">
        <f aca="false">IFERROR(E809/C809,0)</f>
        <v>0.387052341597796</v>
      </c>
      <c r="O809" s="5" t="n">
        <f aca="false">IFERROR(F809/MAX(C809-D809,1),0)</f>
        <v>3.24538893344026</v>
      </c>
      <c r="P809" s="5" t="n">
        <f aca="false">IFERROR(F809/C809,0)</f>
        <v>2.78719008264463</v>
      </c>
      <c r="Q809" s="5" t="n">
        <f aca="false">IFERROR(H809/C809,0)</f>
        <v>470.438636363636</v>
      </c>
      <c r="R809" s="4" t="n">
        <f aca="false">IFERROR(I809/F809,0)</f>
        <v>0.143810229799852</v>
      </c>
      <c r="S809" s="4" t="n">
        <f aca="false">IFERROR(K809/J809,0)</f>
        <v>0.222555713648265</v>
      </c>
      <c r="T809" s="6" t="s">
        <v>23</v>
      </c>
    </row>
    <row r="810" customFormat="false" ht="15" hidden="false" customHeight="false" outlineLevel="0" collapsed="false">
      <c r="A810" s="3" t="s">
        <v>843</v>
      </c>
      <c r="B810" s="3" t="s">
        <v>22</v>
      </c>
      <c r="C810" s="3" t="n">
        <v>662</v>
      </c>
      <c r="D810" s="3" t="n">
        <v>16</v>
      </c>
      <c r="E810" s="3" t="n">
        <v>217</v>
      </c>
      <c r="F810" s="3" t="n">
        <v>1422</v>
      </c>
      <c r="G810" s="3" t="n">
        <v>7</v>
      </c>
      <c r="H810" s="3" t="n">
        <v>130095</v>
      </c>
      <c r="I810" s="3" t="n">
        <v>124</v>
      </c>
      <c r="J810" s="3" t="n">
        <v>80562</v>
      </c>
      <c r="K810" s="3" t="n">
        <v>16572</v>
      </c>
      <c r="L810" s="3" t="n">
        <v>139</v>
      </c>
      <c r="M810" s="4" t="n">
        <f aca="false">IFERROR(D810/C810,0)</f>
        <v>0.0241691842900302</v>
      </c>
      <c r="N810" s="4" t="n">
        <f aca="false">IFERROR(E810/C810,0)</f>
        <v>0.327794561933535</v>
      </c>
      <c r="O810" s="5" t="n">
        <f aca="false">IFERROR(F810/MAX(C810-D810,1),0)</f>
        <v>2.20123839009288</v>
      </c>
      <c r="P810" s="5" t="n">
        <f aca="false">IFERROR(F810/C810,0)</f>
        <v>2.14803625377644</v>
      </c>
      <c r="Q810" s="5" t="n">
        <f aca="false">IFERROR(H810/C810,0)</f>
        <v>196.518126888218</v>
      </c>
      <c r="R810" s="4" t="n">
        <f aca="false">IFERROR(I810/F810,0)</f>
        <v>0.0872011251758087</v>
      </c>
      <c r="S810" s="4" t="n">
        <f aca="false">IFERROR(K810/J810,0)</f>
        <v>0.205704922916512</v>
      </c>
      <c r="T810" s="6" t="s">
        <v>23</v>
      </c>
    </row>
    <row r="811" customFormat="false" ht="15" hidden="false" customHeight="false" outlineLevel="0" collapsed="false">
      <c r="A811" s="3" t="s">
        <v>844</v>
      </c>
      <c r="B811" s="3" t="s">
        <v>22</v>
      </c>
      <c r="C811" s="3" t="n">
        <v>867</v>
      </c>
      <c r="D811" s="3" t="n">
        <v>139</v>
      </c>
      <c r="E811" s="3" t="n">
        <v>311</v>
      </c>
      <c r="F811" s="3" t="n">
        <v>2577</v>
      </c>
      <c r="G811" s="3" t="n">
        <v>15</v>
      </c>
      <c r="H811" s="3" t="n">
        <v>428619.3</v>
      </c>
      <c r="I811" s="3" t="n">
        <v>520</v>
      </c>
      <c r="J811" s="3" t="n">
        <v>69857</v>
      </c>
      <c r="K811" s="3" t="n">
        <v>11220</v>
      </c>
      <c r="L811" s="3" t="n">
        <v>330</v>
      </c>
      <c r="M811" s="4" t="n">
        <f aca="false">IFERROR(D811/C811,0)</f>
        <v>0.160322952710496</v>
      </c>
      <c r="N811" s="4" t="n">
        <f aca="false">IFERROR(E811/C811,0)</f>
        <v>0.358708189158016</v>
      </c>
      <c r="O811" s="5" t="n">
        <f aca="false">IFERROR(F811/MAX(C811-D811,1),0)</f>
        <v>3.53983516483516</v>
      </c>
      <c r="P811" s="5" t="n">
        <f aca="false">IFERROR(F811/C811,0)</f>
        <v>2.97231833910035</v>
      </c>
      <c r="Q811" s="5" t="n">
        <f aca="false">IFERROR(H811/C811,0)</f>
        <v>494.370588235294</v>
      </c>
      <c r="R811" s="4" t="n">
        <f aca="false">IFERROR(I811/F811,0)</f>
        <v>0.201785021342646</v>
      </c>
      <c r="S811" s="4" t="n">
        <f aca="false">IFERROR(K811/J811,0)</f>
        <v>0.160613825386146</v>
      </c>
      <c r="T811" s="6" t="s">
        <v>23</v>
      </c>
    </row>
    <row r="812" customFormat="false" ht="15" hidden="false" customHeight="false" outlineLevel="0" collapsed="false">
      <c r="A812" s="3" t="s">
        <v>845</v>
      </c>
      <c r="B812" s="3" t="s">
        <v>22</v>
      </c>
      <c r="C812" s="3" t="n">
        <v>2025</v>
      </c>
      <c r="D812" s="3" t="n">
        <v>282</v>
      </c>
      <c r="E812" s="3" t="n">
        <v>662</v>
      </c>
      <c r="F812" s="3" t="n">
        <v>4974</v>
      </c>
      <c r="G812" s="3" t="n">
        <v>9</v>
      </c>
      <c r="H812" s="3" t="n">
        <v>887214.6</v>
      </c>
      <c r="I812" s="3" t="n">
        <v>989</v>
      </c>
      <c r="J812" s="3" t="n">
        <v>319605</v>
      </c>
      <c r="K812" s="3" t="n">
        <v>57223</v>
      </c>
      <c r="L812" s="3" t="n">
        <v>316</v>
      </c>
      <c r="M812" s="4" t="n">
        <f aca="false">IFERROR(D812/C812,0)</f>
        <v>0.139259259259259</v>
      </c>
      <c r="N812" s="4" t="n">
        <f aca="false">IFERROR(E812/C812,0)</f>
        <v>0.326913580246914</v>
      </c>
      <c r="O812" s="5" t="n">
        <f aca="false">IFERROR(F812/MAX(C812-D812,1),0)</f>
        <v>2.85370051635112</v>
      </c>
      <c r="P812" s="5" t="n">
        <f aca="false">IFERROR(F812/C812,0)</f>
        <v>2.4562962962963</v>
      </c>
      <c r="Q812" s="5" t="n">
        <f aca="false">IFERROR(H812/C812,0)</f>
        <v>438.130666666667</v>
      </c>
      <c r="R812" s="4" t="n">
        <f aca="false">IFERROR(I812/F812,0)</f>
        <v>0.198833936469642</v>
      </c>
      <c r="S812" s="4" t="n">
        <f aca="false">IFERROR(K812/J812,0)</f>
        <v>0.179042881056304</v>
      </c>
      <c r="T812" s="6" t="s">
        <v>23</v>
      </c>
    </row>
    <row r="813" customFormat="false" ht="15" hidden="false" customHeight="false" outlineLevel="0" collapsed="false">
      <c r="A813" s="3" t="s">
        <v>846</v>
      </c>
      <c r="B813" s="3" t="s">
        <v>29</v>
      </c>
      <c r="C813" s="3" t="n">
        <v>3082</v>
      </c>
      <c r="D813" s="3" t="n">
        <v>448</v>
      </c>
      <c r="E813" s="3" t="n">
        <v>1378</v>
      </c>
      <c r="F813" s="3" t="n">
        <v>9613</v>
      </c>
      <c r="G813" s="3" t="n">
        <v>15</v>
      </c>
      <c r="H813" s="3" t="n">
        <v>1490163.8</v>
      </c>
      <c r="I813" s="3" t="n">
        <v>2793</v>
      </c>
      <c r="J813" s="3" t="n">
        <v>331537</v>
      </c>
      <c r="K813" s="3" t="n">
        <v>53386</v>
      </c>
      <c r="L813" s="3" t="n">
        <v>0</v>
      </c>
      <c r="M813" s="4" t="n">
        <f aca="false">IFERROR(D813/C813,0)</f>
        <v>0.145360155743024</v>
      </c>
      <c r="N813" s="4" t="n">
        <f aca="false">IFERROR(E813/C813,0)</f>
        <v>0.447112264763141</v>
      </c>
      <c r="O813" s="5" t="n">
        <f aca="false">IFERROR(F813/MAX(C813-D813,1),0)</f>
        <v>3.64958238420653</v>
      </c>
      <c r="P813" s="5" t="n">
        <f aca="false">IFERROR(F813/C813,0)</f>
        <v>3.11907852044127</v>
      </c>
      <c r="Q813" s="5" t="n">
        <f aca="false">IFERROR(H813/C813,0)</f>
        <v>483.50545100584</v>
      </c>
      <c r="R813" s="4" t="n">
        <f aca="false">IFERROR(I813/F813,0)</f>
        <v>0.290544054925622</v>
      </c>
      <c r="S813" s="4" t="n">
        <f aca="false">IFERROR(K813/J813,0)</f>
        <v>0.161025767863014</v>
      </c>
      <c r="T813" s="6" t="s">
        <v>23</v>
      </c>
    </row>
    <row r="814" customFormat="false" ht="15" hidden="false" customHeight="false" outlineLevel="0" collapsed="false">
      <c r="A814" s="9" t="s">
        <v>847</v>
      </c>
      <c r="B814" s="9" t="s">
        <v>26</v>
      </c>
      <c r="C814" s="9" t="n">
        <v>3637</v>
      </c>
      <c r="D814" s="9" t="n">
        <v>922</v>
      </c>
      <c r="E814" s="9" t="n">
        <v>1923</v>
      </c>
      <c r="F814" s="9" t="n">
        <v>39689</v>
      </c>
      <c r="G814" s="9" t="n">
        <v>34</v>
      </c>
      <c r="H814" s="9" t="n">
        <v>3808162</v>
      </c>
      <c r="I814" s="9" t="n">
        <v>37705</v>
      </c>
      <c r="J814" s="9" t="n">
        <v>399070</v>
      </c>
      <c r="K814" s="9" t="n">
        <v>309123</v>
      </c>
      <c r="L814" s="9" t="n">
        <v>653</v>
      </c>
      <c r="M814" s="10" t="n">
        <f aca="false">IFERROR(D814/C814,0)</f>
        <v>0.25350563651361</v>
      </c>
      <c r="N814" s="10" t="n">
        <f aca="false">IFERROR(E814/C814,0)</f>
        <v>0.528732471817432</v>
      </c>
      <c r="O814" s="11" t="n">
        <f aca="false">IFERROR(F814/MAX(C814-D814,1),0)</f>
        <v>14.6184162062615</v>
      </c>
      <c r="P814" s="11" t="n">
        <f aca="false">IFERROR(F814/C814,0)</f>
        <v>10.9125653010723</v>
      </c>
      <c r="Q814" s="11" t="n">
        <f aca="false">IFERROR(H814/C814,0)</f>
        <v>1047.06131427</v>
      </c>
      <c r="R814" s="10" t="n">
        <f aca="false">IFERROR(I814/F814,0)</f>
        <v>0.950011338154149</v>
      </c>
      <c r="S814" s="10" t="n">
        <f aca="false">IFERROR(K814/J814,0)</f>
        <v>0.774608464680382</v>
      </c>
      <c r="T814" s="12" t="s">
        <v>30</v>
      </c>
    </row>
    <row r="815" customFormat="false" ht="15" hidden="false" customHeight="false" outlineLevel="0" collapsed="false">
      <c r="A815" s="9" t="s">
        <v>848</v>
      </c>
      <c r="B815" s="9" t="s">
        <v>22</v>
      </c>
      <c r="C815" s="9" t="n">
        <v>1309</v>
      </c>
      <c r="D815" s="9" t="n">
        <v>249</v>
      </c>
      <c r="E815" s="9" t="n">
        <v>595</v>
      </c>
      <c r="F815" s="9" t="n">
        <v>9619</v>
      </c>
      <c r="G815" s="9" t="n">
        <v>19</v>
      </c>
      <c r="H815" s="9" t="n">
        <v>1411730.3</v>
      </c>
      <c r="I815" s="9" t="n">
        <v>7246</v>
      </c>
      <c r="J815" s="9" t="n">
        <v>244033</v>
      </c>
      <c r="K815" s="9" t="n">
        <v>183230</v>
      </c>
      <c r="L815" s="9" t="n">
        <v>385</v>
      </c>
      <c r="M815" s="10" t="n">
        <f aca="false">IFERROR(D815/C815,0)</f>
        <v>0.19022154316272</v>
      </c>
      <c r="N815" s="10" t="n">
        <f aca="false">IFERROR(E815/C815,0)</f>
        <v>0.454545454545455</v>
      </c>
      <c r="O815" s="11" t="n">
        <f aca="false">IFERROR(F815/MAX(C815-D815,1),0)</f>
        <v>9.07452830188679</v>
      </c>
      <c r="P815" s="11" t="n">
        <f aca="false">IFERROR(F815/C815,0)</f>
        <v>7.34835752482811</v>
      </c>
      <c r="Q815" s="11" t="n">
        <f aca="false">IFERROR(H815/C815,0)</f>
        <v>1078.47998472116</v>
      </c>
      <c r="R815" s="10" t="n">
        <f aca="false">IFERROR(I815/F815,0)</f>
        <v>0.753300758914648</v>
      </c>
      <c r="S815" s="10" t="n">
        <f aca="false">IFERROR(K815/J815,0)</f>
        <v>0.750841074772674</v>
      </c>
      <c r="T815" s="12" t="s">
        <v>30</v>
      </c>
    </row>
    <row r="816" customFormat="false" ht="15" hidden="false" customHeight="false" outlineLevel="0" collapsed="false">
      <c r="A816" s="3" t="s">
        <v>849</v>
      </c>
      <c r="B816" s="3" t="s">
        <v>29</v>
      </c>
      <c r="C816" s="3" t="n">
        <v>1990</v>
      </c>
      <c r="D816" s="3" t="n">
        <v>100</v>
      </c>
      <c r="E816" s="3" t="n">
        <v>587</v>
      </c>
      <c r="F816" s="3" t="n">
        <v>2238</v>
      </c>
      <c r="G816" s="3" t="n">
        <v>5</v>
      </c>
      <c r="H816" s="3" t="n">
        <v>639254.2</v>
      </c>
      <c r="I816" s="3" t="n">
        <v>300</v>
      </c>
      <c r="J816" s="3" t="n">
        <v>267217</v>
      </c>
      <c r="K816" s="3" t="n">
        <v>50577</v>
      </c>
      <c r="L816" s="3" t="n">
        <v>0</v>
      </c>
      <c r="M816" s="4" t="n">
        <f aca="false">IFERROR(D816/C816,0)</f>
        <v>0.050251256281407</v>
      </c>
      <c r="N816" s="4" t="n">
        <f aca="false">IFERROR(E816/C816,0)</f>
        <v>0.294974874371859</v>
      </c>
      <c r="O816" s="5" t="n">
        <f aca="false">IFERROR(F816/MAX(C816-D816,1),0)</f>
        <v>1.18412698412698</v>
      </c>
      <c r="P816" s="5" t="n">
        <f aca="false">IFERROR(F816/C816,0)</f>
        <v>1.12462311557789</v>
      </c>
      <c r="Q816" s="5" t="n">
        <f aca="false">IFERROR(H816/C816,0)</f>
        <v>321.233266331658</v>
      </c>
      <c r="R816" s="4" t="n">
        <f aca="false">IFERROR(I816/F816,0)</f>
        <v>0.134048257372654</v>
      </c>
      <c r="S816" s="4" t="n">
        <f aca="false">IFERROR(K816/J816,0)</f>
        <v>0.189273137562356</v>
      </c>
      <c r="T816" s="6" t="s">
        <v>23</v>
      </c>
    </row>
    <row r="817" customFormat="false" ht="15" hidden="false" customHeight="false" outlineLevel="0" collapsed="false">
      <c r="A817" s="3" t="s">
        <v>850</v>
      </c>
      <c r="B817" s="3" t="s">
        <v>26</v>
      </c>
      <c r="C817" s="3" t="n">
        <v>3623</v>
      </c>
      <c r="D817" s="3" t="n">
        <v>551</v>
      </c>
      <c r="E817" s="3" t="n">
        <v>1429</v>
      </c>
      <c r="F817" s="3" t="n">
        <v>11571</v>
      </c>
      <c r="G817" s="3" t="n">
        <v>12</v>
      </c>
      <c r="H817" s="3" t="n">
        <v>1586476.5</v>
      </c>
      <c r="I817" s="3" t="n">
        <v>2232</v>
      </c>
      <c r="J817" s="3" t="n">
        <v>606749</v>
      </c>
      <c r="K817" s="3" t="n">
        <v>132015</v>
      </c>
      <c r="L817" s="3" t="n">
        <v>1764</v>
      </c>
      <c r="M817" s="4" t="n">
        <f aca="false">IFERROR(D817/C817,0)</f>
        <v>0.152083908363235</v>
      </c>
      <c r="N817" s="4" t="n">
        <f aca="false">IFERROR(E817/C817,0)</f>
        <v>0.394424510074524</v>
      </c>
      <c r="O817" s="5" t="n">
        <f aca="false">IFERROR(F817/MAX(C817-D817,1),0)</f>
        <v>3.7666015625</v>
      </c>
      <c r="P817" s="5" t="n">
        <f aca="false">IFERROR(F817/C817,0)</f>
        <v>3.19376207562793</v>
      </c>
      <c r="Q817" s="5" t="n">
        <f aca="false">IFERROR(H817/C817,0)</f>
        <v>437.890284294783</v>
      </c>
      <c r="R817" s="4" t="n">
        <f aca="false">IFERROR(I817/F817,0)</f>
        <v>0.192896033186414</v>
      </c>
      <c r="S817" s="4" t="n">
        <f aca="false">IFERROR(K817/J817,0)</f>
        <v>0.217577614466608</v>
      </c>
      <c r="T817" s="6" t="s">
        <v>23</v>
      </c>
    </row>
    <row r="818" customFormat="false" ht="15" hidden="false" customHeight="false" outlineLevel="0" collapsed="false">
      <c r="A818" s="3" t="s">
        <v>851</v>
      </c>
      <c r="B818" s="3" t="s">
        <v>22</v>
      </c>
      <c r="C818" s="3" t="n">
        <v>477</v>
      </c>
      <c r="D818" s="3" t="n">
        <v>28</v>
      </c>
      <c r="E818" s="3" t="n">
        <v>137</v>
      </c>
      <c r="F818" s="3" t="n">
        <v>1269</v>
      </c>
      <c r="G818" s="3" t="n">
        <v>13</v>
      </c>
      <c r="H818" s="3" t="n">
        <v>232821.7</v>
      </c>
      <c r="I818" s="3" t="n">
        <v>246</v>
      </c>
      <c r="J818" s="3" t="n">
        <v>84298</v>
      </c>
      <c r="K818" s="3" t="n">
        <v>15323</v>
      </c>
      <c r="L818" s="3" t="n">
        <v>185</v>
      </c>
      <c r="M818" s="4" t="n">
        <f aca="false">IFERROR(D818/C818,0)</f>
        <v>0.0587002096436059</v>
      </c>
      <c r="N818" s="4" t="n">
        <f aca="false">IFERROR(E818/C818,0)</f>
        <v>0.287211740041929</v>
      </c>
      <c r="O818" s="5" t="n">
        <f aca="false">IFERROR(F818/MAX(C818-D818,1),0)</f>
        <v>2.82628062360802</v>
      </c>
      <c r="P818" s="5" t="n">
        <f aca="false">IFERROR(F818/C818,0)</f>
        <v>2.66037735849057</v>
      </c>
      <c r="Q818" s="5" t="n">
        <f aca="false">IFERROR(H818/C818,0)</f>
        <v>488.095807127883</v>
      </c>
      <c r="R818" s="4" t="n">
        <f aca="false">IFERROR(I818/F818,0)</f>
        <v>0.193853427895981</v>
      </c>
      <c r="S818" s="4" t="n">
        <f aca="false">IFERROR(K818/J818,0)</f>
        <v>0.181771809532848</v>
      </c>
      <c r="T818" s="6" t="s">
        <v>23</v>
      </c>
    </row>
    <row r="819" customFormat="false" ht="15" hidden="false" customHeight="false" outlineLevel="0" collapsed="false">
      <c r="A819" s="3" t="s">
        <v>852</v>
      </c>
      <c r="B819" s="3" t="s">
        <v>29</v>
      </c>
      <c r="C819" s="3" t="n">
        <v>749</v>
      </c>
      <c r="D819" s="3" t="n">
        <v>48</v>
      </c>
      <c r="E819" s="3" t="n">
        <v>272</v>
      </c>
      <c r="F819" s="3" t="n">
        <v>2028</v>
      </c>
      <c r="G819" s="3" t="n">
        <v>7</v>
      </c>
      <c r="H819" s="3" t="n">
        <v>280151.9</v>
      </c>
      <c r="I819" s="3" t="n">
        <v>418</v>
      </c>
      <c r="J819" s="3" t="n">
        <v>70509</v>
      </c>
      <c r="K819" s="3" t="n">
        <v>19896</v>
      </c>
      <c r="L819" s="3" t="n">
        <v>0</v>
      </c>
      <c r="M819" s="4" t="n">
        <f aca="false">IFERROR(D819/C819,0)</f>
        <v>0.0640854472630174</v>
      </c>
      <c r="N819" s="4" t="n">
        <f aca="false">IFERROR(E819/C819,0)</f>
        <v>0.363150867823765</v>
      </c>
      <c r="O819" s="5" t="n">
        <f aca="false">IFERROR(F819/MAX(C819-D819,1),0)</f>
        <v>2.89300998573466</v>
      </c>
      <c r="P819" s="5" t="n">
        <f aca="false">IFERROR(F819/C819,0)</f>
        <v>2.70761014686248</v>
      </c>
      <c r="Q819" s="5" t="n">
        <f aca="false">IFERROR(H819/C819,0)</f>
        <v>374.034579439252</v>
      </c>
      <c r="R819" s="4" t="n">
        <f aca="false">IFERROR(I819/F819,0)</f>
        <v>0.206114398422091</v>
      </c>
      <c r="S819" s="4" t="n">
        <f aca="false">IFERROR(K819/J819,0)</f>
        <v>0.28217674339446</v>
      </c>
      <c r="T819" s="6" t="s">
        <v>23</v>
      </c>
    </row>
    <row r="820" customFormat="false" ht="15" hidden="false" customHeight="false" outlineLevel="0" collapsed="false">
      <c r="A820" s="3" t="s">
        <v>853</v>
      </c>
      <c r="B820" s="3" t="s">
        <v>26</v>
      </c>
      <c r="C820" s="3" t="n">
        <v>1988</v>
      </c>
      <c r="D820" s="3" t="n">
        <v>175</v>
      </c>
      <c r="E820" s="3" t="n">
        <v>808</v>
      </c>
      <c r="F820" s="3" t="n">
        <v>4811</v>
      </c>
      <c r="G820" s="3" t="n">
        <v>13</v>
      </c>
      <c r="H820" s="3" t="n">
        <v>882558.1</v>
      </c>
      <c r="I820" s="3" t="n">
        <v>787</v>
      </c>
      <c r="J820" s="3" t="n">
        <v>234094</v>
      </c>
      <c r="K820" s="3" t="n">
        <v>58008</v>
      </c>
      <c r="L820" s="3" t="n">
        <v>490</v>
      </c>
      <c r="M820" s="4" t="n">
        <f aca="false">IFERROR(D820/C820,0)</f>
        <v>0.0880281690140845</v>
      </c>
      <c r="N820" s="4" t="n">
        <f aca="false">IFERROR(E820/C820,0)</f>
        <v>0.406438631790744</v>
      </c>
      <c r="O820" s="5" t="n">
        <f aca="false">IFERROR(F820/MAX(C820-D820,1),0)</f>
        <v>2.65361279646994</v>
      </c>
      <c r="P820" s="5" t="n">
        <f aca="false">IFERROR(F820/C820,0)</f>
        <v>2.42002012072435</v>
      </c>
      <c r="Q820" s="5" t="n">
        <f aca="false">IFERROR(H820/C820,0)</f>
        <v>443.942706237425</v>
      </c>
      <c r="R820" s="4" t="n">
        <f aca="false">IFERROR(I820/F820,0)</f>
        <v>0.163583454583247</v>
      </c>
      <c r="S820" s="4" t="n">
        <f aca="false">IFERROR(K820/J820,0)</f>
        <v>0.247797893154032</v>
      </c>
      <c r="T820" s="6" t="s">
        <v>23</v>
      </c>
    </row>
    <row r="821" customFormat="false" ht="15" hidden="false" customHeight="false" outlineLevel="0" collapsed="false">
      <c r="A821" s="3" t="s">
        <v>854</v>
      </c>
      <c r="B821" s="3" t="s">
        <v>29</v>
      </c>
      <c r="C821" s="3" t="n">
        <v>3330</v>
      </c>
      <c r="D821" s="3" t="n">
        <v>379</v>
      </c>
      <c r="E821" s="3" t="n">
        <v>1442</v>
      </c>
      <c r="F821" s="3" t="n">
        <v>12346</v>
      </c>
      <c r="G821" s="3" t="n">
        <v>14</v>
      </c>
      <c r="H821" s="3" t="n">
        <v>1667659.6</v>
      </c>
      <c r="I821" s="3" t="n">
        <v>3018</v>
      </c>
      <c r="J821" s="3" t="n">
        <v>597941</v>
      </c>
      <c r="K821" s="3" t="n">
        <v>116293</v>
      </c>
      <c r="L821" s="3" t="n">
        <v>0</v>
      </c>
      <c r="M821" s="4" t="n">
        <f aca="false">IFERROR(D821/C821,0)</f>
        <v>0.113813813813814</v>
      </c>
      <c r="N821" s="4" t="n">
        <f aca="false">IFERROR(E821/C821,0)</f>
        <v>0.433033033033033</v>
      </c>
      <c r="O821" s="5" t="n">
        <f aca="false">IFERROR(F821/MAX(C821-D821,1),0)</f>
        <v>4.18366655371061</v>
      </c>
      <c r="P821" s="5" t="n">
        <f aca="false">IFERROR(F821/C821,0)</f>
        <v>3.70750750750751</v>
      </c>
      <c r="Q821" s="5" t="n">
        <f aca="false">IFERROR(H821/C821,0)</f>
        <v>500.798678678679</v>
      </c>
      <c r="R821" s="4" t="n">
        <f aca="false">IFERROR(I821/F821,0)</f>
        <v>0.244451644257249</v>
      </c>
      <c r="S821" s="4" t="n">
        <f aca="false">IFERROR(K821/J821,0)</f>
        <v>0.194489088388319</v>
      </c>
      <c r="T821" s="6" t="s">
        <v>23</v>
      </c>
    </row>
    <row r="822" customFormat="false" ht="15" hidden="false" customHeight="false" outlineLevel="0" collapsed="false">
      <c r="A822" s="3" t="s">
        <v>855</v>
      </c>
      <c r="B822" s="3" t="s">
        <v>22</v>
      </c>
      <c r="C822" s="3" t="n">
        <v>1952</v>
      </c>
      <c r="D822" s="3" t="n">
        <v>241</v>
      </c>
      <c r="E822" s="3" t="n">
        <v>557</v>
      </c>
      <c r="F822" s="3" t="n">
        <v>6136</v>
      </c>
      <c r="G822" s="3" t="n">
        <v>12</v>
      </c>
      <c r="H822" s="3" t="n">
        <v>898145.5</v>
      </c>
      <c r="I822" s="3" t="n">
        <v>1758</v>
      </c>
      <c r="J822" s="3" t="n">
        <v>287574</v>
      </c>
      <c r="K822" s="3" t="n">
        <v>30336</v>
      </c>
      <c r="L822" s="3" t="n">
        <v>649</v>
      </c>
      <c r="M822" s="4" t="n">
        <f aca="false">IFERROR(D822/C822,0)</f>
        <v>0.123463114754098</v>
      </c>
      <c r="N822" s="4" t="n">
        <f aca="false">IFERROR(E822/C822,0)</f>
        <v>0.285348360655738</v>
      </c>
      <c r="O822" s="5" t="n">
        <f aca="false">IFERROR(F822/MAX(C822-D822,1),0)</f>
        <v>3.58620689655172</v>
      </c>
      <c r="P822" s="5" t="n">
        <f aca="false">IFERROR(F822/C822,0)</f>
        <v>3.14344262295082</v>
      </c>
      <c r="Q822" s="5" t="n">
        <f aca="false">IFERROR(H822/C822,0)</f>
        <v>460.115522540984</v>
      </c>
      <c r="R822" s="4" t="n">
        <f aca="false">IFERROR(I822/F822,0)</f>
        <v>0.286505867014342</v>
      </c>
      <c r="S822" s="4" t="n">
        <f aca="false">IFERROR(K822/J822,0)</f>
        <v>0.10548936969267</v>
      </c>
      <c r="T822" s="6" t="s">
        <v>23</v>
      </c>
    </row>
    <row r="823" customFormat="false" ht="15" hidden="false" customHeight="false" outlineLevel="0" collapsed="false">
      <c r="A823" s="9" t="s">
        <v>856</v>
      </c>
      <c r="B823" s="9" t="s">
        <v>29</v>
      </c>
      <c r="C823" s="9" t="n">
        <v>1213</v>
      </c>
      <c r="D823" s="9" t="n">
        <v>465</v>
      </c>
      <c r="E823" s="9" t="n">
        <v>722</v>
      </c>
      <c r="F823" s="9" t="n">
        <v>11873</v>
      </c>
      <c r="G823" s="9" t="n">
        <v>29</v>
      </c>
      <c r="H823" s="9" t="n">
        <v>1475688.3</v>
      </c>
      <c r="I823" s="9" t="n">
        <v>7853</v>
      </c>
      <c r="J823" s="9" t="n">
        <v>123420</v>
      </c>
      <c r="K823" s="9" t="n">
        <v>83901</v>
      </c>
      <c r="L823" s="9" t="n">
        <v>0</v>
      </c>
      <c r="M823" s="10" t="n">
        <f aca="false">IFERROR(D823/C823,0)</f>
        <v>0.383347073371805</v>
      </c>
      <c r="N823" s="10" t="n">
        <f aca="false">IFERROR(E823/C823,0)</f>
        <v>0.595218466611707</v>
      </c>
      <c r="O823" s="11" t="n">
        <f aca="false">IFERROR(F823/MAX(C823-D823,1),0)</f>
        <v>15.8729946524064</v>
      </c>
      <c r="P823" s="11" t="n">
        <f aca="false">IFERROR(F823/C823,0)</f>
        <v>9.7881286067601</v>
      </c>
      <c r="Q823" s="11" t="n">
        <f aca="false">IFERROR(H823/C823,0)</f>
        <v>1216.56084089035</v>
      </c>
      <c r="R823" s="10" t="n">
        <f aca="false">IFERROR(I823/F823,0)</f>
        <v>0.661416659647941</v>
      </c>
      <c r="S823" s="10" t="n">
        <f aca="false">IFERROR(K823/J823,0)</f>
        <v>0.67980068060282</v>
      </c>
      <c r="T823" s="12" t="s">
        <v>30</v>
      </c>
    </row>
    <row r="824" customFormat="false" ht="15" hidden="false" customHeight="false" outlineLevel="0" collapsed="false">
      <c r="A824" s="3" t="s">
        <v>857</v>
      </c>
      <c r="B824" s="3" t="s">
        <v>29</v>
      </c>
      <c r="C824" s="3" t="n">
        <v>1155</v>
      </c>
      <c r="D824" s="3" t="n">
        <v>68</v>
      </c>
      <c r="E824" s="3" t="n">
        <v>373</v>
      </c>
      <c r="F824" s="3" t="n">
        <v>1736</v>
      </c>
      <c r="G824" s="3" t="n">
        <v>3</v>
      </c>
      <c r="H824" s="3" t="n">
        <v>266903</v>
      </c>
      <c r="I824" s="3" t="n">
        <v>362</v>
      </c>
      <c r="J824" s="3" t="n">
        <v>218474</v>
      </c>
      <c r="K824" s="3" t="n">
        <v>40958</v>
      </c>
      <c r="L824" s="3" t="n">
        <v>0</v>
      </c>
      <c r="M824" s="4" t="n">
        <f aca="false">IFERROR(D824/C824,0)</f>
        <v>0.0588744588744589</v>
      </c>
      <c r="N824" s="4" t="n">
        <f aca="false">IFERROR(E824/C824,0)</f>
        <v>0.322943722943723</v>
      </c>
      <c r="O824" s="5" t="n">
        <f aca="false">IFERROR(F824/MAX(C824-D824,1),0)</f>
        <v>1.59705611775529</v>
      </c>
      <c r="P824" s="5" t="n">
        <f aca="false">IFERROR(F824/C824,0)</f>
        <v>1.5030303030303</v>
      </c>
      <c r="Q824" s="5" t="n">
        <f aca="false">IFERROR(H824/C824,0)</f>
        <v>231.084848484849</v>
      </c>
      <c r="R824" s="4" t="n">
        <f aca="false">IFERROR(I824/F824,0)</f>
        <v>0.20852534562212</v>
      </c>
      <c r="S824" s="4" t="n">
        <f aca="false">IFERROR(K824/J824,0)</f>
        <v>0.187473108928294</v>
      </c>
      <c r="T824" s="6" t="s">
        <v>23</v>
      </c>
    </row>
    <row r="825" customFormat="false" ht="15" hidden="false" customHeight="false" outlineLevel="0" collapsed="false">
      <c r="A825" s="9" t="s">
        <v>858</v>
      </c>
      <c r="B825" s="9" t="s">
        <v>26</v>
      </c>
      <c r="C825" s="9" t="n">
        <v>2881</v>
      </c>
      <c r="D825" s="9" t="n">
        <v>612</v>
      </c>
      <c r="E825" s="9" t="n">
        <v>1106</v>
      </c>
      <c r="F825" s="9" t="n">
        <v>17094</v>
      </c>
      <c r="G825" s="9" t="n">
        <v>16</v>
      </c>
      <c r="H825" s="9" t="n">
        <v>2685328</v>
      </c>
      <c r="I825" s="9" t="n">
        <v>8090</v>
      </c>
      <c r="J825" s="9" t="n">
        <v>449677</v>
      </c>
      <c r="K825" s="9" t="n">
        <v>253547</v>
      </c>
      <c r="L825" s="9" t="n">
        <v>361</v>
      </c>
      <c r="M825" s="10" t="n">
        <f aca="false">IFERROR(D825/C825,0)</f>
        <v>0.21242624088858</v>
      </c>
      <c r="N825" s="10" t="n">
        <f aca="false">IFERROR(E825/C825,0)</f>
        <v>0.383894481082957</v>
      </c>
      <c r="O825" s="11" t="n">
        <f aca="false">IFERROR(F825/MAX(C825-D825,1),0)</f>
        <v>7.53371529308065</v>
      </c>
      <c r="P825" s="11" t="n">
        <f aca="false">IFERROR(F825/C825,0)</f>
        <v>5.93335647344672</v>
      </c>
      <c r="Q825" s="11" t="n">
        <f aca="false">IFERROR(H825/C825,0)</f>
        <v>932.081916001388</v>
      </c>
      <c r="R825" s="10" t="n">
        <f aca="false">IFERROR(I825/F825,0)</f>
        <v>0.473265473265473</v>
      </c>
      <c r="S825" s="10" t="n">
        <f aca="false">IFERROR(K825/J825,0)</f>
        <v>0.563842491388263</v>
      </c>
      <c r="T825" s="12" t="s">
        <v>30</v>
      </c>
    </row>
    <row r="826" customFormat="false" ht="15" hidden="false" customHeight="false" outlineLevel="0" collapsed="false">
      <c r="A826" s="3" t="s">
        <v>859</v>
      </c>
      <c r="B826" s="3" t="s">
        <v>26</v>
      </c>
      <c r="C826" s="3" t="n">
        <v>2736</v>
      </c>
      <c r="D826" s="3" t="n">
        <v>391</v>
      </c>
      <c r="E826" s="3" t="n">
        <v>1180</v>
      </c>
      <c r="F826" s="3" t="n">
        <v>10981</v>
      </c>
      <c r="G826" s="3" t="n">
        <v>16</v>
      </c>
      <c r="H826" s="3" t="n">
        <v>1538546.2</v>
      </c>
      <c r="I826" s="3" t="n">
        <v>1589</v>
      </c>
      <c r="J826" s="3" t="n">
        <v>347506</v>
      </c>
      <c r="K826" s="3" t="n">
        <v>71878</v>
      </c>
      <c r="L826" s="3" t="n">
        <v>555</v>
      </c>
      <c r="M826" s="4" t="n">
        <f aca="false">IFERROR(D826/C826,0)</f>
        <v>0.142909356725146</v>
      </c>
      <c r="N826" s="4" t="n">
        <f aca="false">IFERROR(E826/C826,0)</f>
        <v>0.431286549707602</v>
      </c>
      <c r="O826" s="5" t="n">
        <f aca="false">IFERROR(F826/MAX(C826-D826,1),0)</f>
        <v>4.68272921108742</v>
      </c>
      <c r="P826" s="5" t="n">
        <f aca="false">IFERROR(F826/C826,0)</f>
        <v>4.01352339181287</v>
      </c>
      <c r="Q826" s="5" t="n">
        <f aca="false">IFERROR(H826/C826,0)</f>
        <v>562.334137426901</v>
      </c>
      <c r="R826" s="4" t="n">
        <f aca="false">IFERROR(I826/F826,0)</f>
        <v>0.144704489572899</v>
      </c>
      <c r="S826" s="4" t="n">
        <f aca="false">IFERROR(K826/J826,0)</f>
        <v>0.206839594136504</v>
      </c>
      <c r="T826" s="6" t="s">
        <v>23</v>
      </c>
    </row>
    <row r="827" customFormat="false" ht="15" hidden="false" customHeight="false" outlineLevel="0" collapsed="false">
      <c r="A827" s="3" t="s">
        <v>860</v>
      </c>
      <c r="B827" s="3" t="s">
        <v>22</v>
      </c>
      <c r="C827" s="3" t="n">
        <v>2365</v>
      </c>
      <c r="D827" s="3" t="n">
        <v>288</v>
      </c>
      <c r="E827" s="3" t="n">
        <v>1058</v>
      </c>
      <c r="F827" s="3" t="n">
        <v>7037</v>
      </c>
      <c r="G827" s="3" t="n">
        <v>13</v>
      </c>
      <c r="H827" s="3" t="n">
        <v>888648</v>
      </c>
      <c r="I827" s="3" t="n">
        <v>1398</v>
      </c>
      <c r="J827" s="3" t="n">
        <v>379545</v>
      </c>
      <c r="K827" s="3" t="n">
        <v>89306</v>
      </c>
      <c r="L827" s="3" t="n">
        <v>1062</v>
      </c>
      <c r="M827" s="4" t="n">
        <f aca="false">IFERROR(D827/C827,0)</f>
        <v>0.121775898520085</v>
      </c>
      <c r="N827" s="4" t="n">
        <f aca="false">IFERROR(E827/C827,0)</f>
        <v>0.447357293868922</v>
      </c>
      <c r="O827" s="5" t="n">
        <f aca="false">IFERROR(F827/MAX(C827-D827,1),0)</f>
        <v>3.38805970149254</v>
      </c>
      <c r="P827" s="5" t="n">
        <f aca="false">IFERROR(F827/C827,0)</f>
        <v>2.97547568710359</v>
      </c>
      <c r="Q827" s="5" t="n">
        <f aca="false">IFERROR(H827/C827,0)</f>
        <v>375.749682875264</v>
      </c>
      <c r="R827" s="4" t="n">
        <f aca="false">IFERROR(I827/F827,0)</f>
        <v>0.198664203495808</v>
      </c>
      <c r="S827" s="4" t="n">
        <f aca="false">IFERROR(K827/J827,0)</f>
        <v>0.235297527302428</v>
      </c>
      <c r="T827" s="6" t="s">
        <v>23</v>
      </c>
    </row>
    <row r="828" customFormat="false" ht="15" hidden="false" customHeight="false" outlineLevel="0" collapsed="false">
      <c r="A828" s="3" t="s">
        <v>861</v>
      </c>
      <c r="B828" s="3" t="s">
        <v>22</v>
      </c>
      <c r="C828" s="3" t="n">
        <v>2856</v>
      </c>
      <c r="D828" s="3" t="n">
        <v>363</v>
      </c>
      <c r="E828" s="3" t="n">
        <v>1207</v>
      </c>
      <c r="F828" s="3" t="n">
        <v>8123</v>
      </c>
      <c r="G828" s="3" t="n">
        <v>13</v>
      </c>
      <c r="H828" s="3" t="n">
        <v>1700789.1</v>
      </c>
      <c r="I828" s="3" t="n">
        <v>1118</v>
      </c>
      <c r="J828" s="3" t="n">
        <v>437300</v>
      </c>
      <c r="K828" s="3" t="n">
        <v>72779</v>
      </c>
      <c r="L828" s="3" t="n">
        <v>1276</v>
      </c>
      <c r="M828" s="4" t="n">
        <f aca="false">IFERROR(D828/C828,0)</f>
        <v>0.127100840336134</v>
      </c>
      <c r="N828" s="4" t="n">
        <f aca="false">IFERROR(E828/C828,0)</f>
        <v>0.422619047619048</v>
      </c>
      <c r="O828" s="5" t="n">
        <f aca="false">IFERROR(F828/MAX(C828-D828,1),0)</f>
        <v>3.25832330525471</v>
      </c>
      <c r="P828" s="5" t="n">
        <f aca="false">IFERROR(F828/C828,0)</f>
        <v>2.84418767507003</v>
      </c>
      <c r="Q828" s="5" t="n">
        <f aca="false">IFERROR(H828/C828,0)</f>
        <v>595.514390756303</v>
      </c>
      <c r="R828" s="4" t="n">
        <f aca="false">IFERROR(I828/F828,0)</f>
        <v>0.137633879108704</v>
      </c>
      <c r="S828" s="4" t="n">
        <f aca="false">IFERROR(K828/J828,0)</f>
        <v>0.166428081408644</v>
      </c>
      <c r="T828" s="6" t="s">
        <v>23</v>
      </c>
    </row>
    <row r="829" customFormat="false" ht="15" hidden="false" customHeight="false" outlineLevel="0" collapsed="false">
      <c r="A829" s="9" t="s">
        <v>862</v>
      </c>
      <c r="B829" s="9" t="s">
        <v>26</v>
      </c>
      <c r="C829" s="9" t="n">
        <v>3029</v>
      </c>
      <c r="D829" s="9" t="n">
        <v>1294</v>
      </c>
      <c r="E829" s="9" t="n">
        <v>1998</v>
      </c>
      <c r="F829" s="9" t="n">
        <v>29264</v>
      </c>
      <c r="G829" s="9" t="n">
        <v>33</v>
      </c>
      <c r="H829" s="9" t="n">
        <v>4039573.6</v>
      </c>
      <c r="I829" s="9" t="n">
        <v>19880</v>
      </c>
      <c r="J829" s="9" t="n">
        <v>424903</v>
      </c>
      <c r="K829" s="9" t="n">
        <v>266721</v>
      </c>
      <c r="L829" s="9" t="n">
        <v>1448</v>
      </c>
      <c r="M829" s="10" t="n">
        <f aca="false">IFERROR(D829/C829,0)</f>
        <v>0.427203697589964</v>
      </c>
      <c r="N829" s="10" t="n">
        <f aca="false">IFERROR(E829/C829,0)</f>
        <v>0.659623638164411</v>
      </c>
      <c r="O829" s="11" t="n">
        <f aca="false">IFERROR(F829/MAX(C829-D829,1),0)</f>
        <v>16.8668587896254</v>
      </c>
      <c r="P829" s="11" t="n">
        <f aca="false">IFERROR(F829/C829,0)</f>
        <v>9.66127434796963</v>
      </c>
      <c r="Q829" s="11" t="n">
        <f aca="false">IFERROR(H829/C829,0)</f>
        <v>1333.63275008254</v>
      </c>
      <c r="R829" s="10" t="n">
        <f aca="false">IFERROR(I829/F829,0)</f>
        <v>0.679332968835429</v>
      </c>
      <c r="S829" s="10" t="n">
        <f aca="false">IFERROR(K829/J829,0)</f>
        <v>0.627722091865673</v>
      </c>
      <c r="T829" s="12" t="s">
        <v>30</v>
      </c>
    </row>
    <row r="830" customFormat="false" ht="15" hidden="false" customHeight="false" outlineLevel="0" collapsed="false">
      <c r="A830" s="3" t="s">
        <v>863</v>
      </c>
      <c r="B830" s="3" t="s">
        <v>26</v>
      </c>
      <c r="C830" s="3" t="n">
        <v>865</v>
      </c>
      <c r="D830" s="3" t="n">
        <v>83</v>
      </c>
      <c r="E830" s="3" t="n">
        <v>321</v>
      </c>
      <c r="F830" s="3" t="n">
        <v>2816</v>
      </c>
      <c r="G830" s="3" t="n">
        <v>13</v>
      </c>
      <c r="H830" s="3" t="n">
        <v>522212.7</v>
      </c>
      <c r="I830" s="3" t="n">
        <v>546</v>
      </c>
      <c r="J830" s="3" t="n">
        <v>88884</v>
      </c>
      <c r="K830" s="3" t="n">
        <v>19459</v>
      </c>
      <c r="L830" s="3" t="n">
        <v>356</v>
      </c>
      <c r="M830" s="4" t="n">
        <f aca="false">IFERROR(D830/C830,0)</f>
        <v>0.0959537572254335</v>
      </c>
      <c r="N830" s="4" t="n">
        <f aca="false">IFERROR(E830/C830,0)</f>
        <v>0.371098265895954</v>
      </c>
      <c r="O830" s="5" t="n">
        <f aca="false">IFERROR(F830/MAX(C830-D830,1),0)</f>
        <v>3.60102301790281</v>
      </c>
      <c r="P830" s="5" t="n">
        <f aca="false">IFERROR(F830/C830,0)</f>
        <v>3.25549132947977</v>
      </c>
      <c r="Q830" s="5" t="n">
        <f aca="false">IFERROR(H830/C830,0)</f>
        <v>603.714104046243</v>
      </c>
      <c r="R830" s="4" t="n">
        <f aca="false">IFERROR(I830/F830,0)</f>
        <v>0.193892045454545</v>
      </c>
      <c r="S830" s="4" t="n">
        <f aca="false">IFERROR(K830/J830,0)</f>
        <v>0.218925790918501</v>
      </c>
      <c r="T830" s="6" t="s">
        <v>23</v>
      </c>
    </row>
    <row r="831" customFormat="false" ht="15" hidden="false" customHeight="false" outlineLevel="0" collapsed="false">
      <c r="A831" s="3" t="s">
        <v>864</v>
      </c>
      <c r="B831" s="3" t="s">
        <v>22</v>
      </c>
      <c r="C831" s="3" t="n">
        <v>897</v>
      </c>
      <c r="D831" s="3" t="n">
        <v>132</v>
      </c>
      <c r="E831" s="3" t="n">
        <v>301</v>
      </c>
      <c r="F831" s="3" t="n">
        <v>3603</v>
      </c>
      <c r="G831" s="3" t="n">
        <v>16</v>
      </c>
      <c r="H831" s="3" t="n">
        <v>491561.3</v>
      </c>
      <c r="I831" s="3" t="n">
        <v>638</v>
      </c>
      <c r="J831" s="3" t="n">
        <v>101966</v>
      </c>
      <c r="K831" s="3" t="n">
        <v>22358</v>
      </c>
      <c r="L831" s="3" t="n">
        <v>463</v>
      </c>
      <c r="M831" s="4" t="n">
        <f aca="false">IFERROR(D831/C831,0)</f>
        <v>0.147157190635452</v>
      </c>
      <c r="N831" s="4" t="n">
        <f aca="false">IFERROR(E831/C831,0)</f>
        <v>0.335562987736901</v>
      </c>
      <c r="O831" s="5" t="n">
        <f aca="false">IFERROR(F831/MAX(C831-D831,1),0)</f>
        <v>4.70980392156863</v>
      </c>
      <c r="P831" s="5" t="n">
        <f aca="false">IFERROR(F831/C831,0)</f>
        <v>4.01672240802676</v>
      </c>
      <c r="Q831" s="5" t="n">
        <f aca="false">IFERROR(H831/C831,0)</f>
        <v>548.005908584169</v>
      </c>
      <c r="R831" s="4" t="n">
        <f aca="false">IFERROR(I831/F831,0)</f>
        <v>0.177074660005551</v>
      </c>
      <c r="S831" s="4" t="n">
        <f aca="false">IFERROR(K831/J831,0)</f>
        <v>0.219269168154091</v>
      </c>
      <c r="T831" s="6" t="s">
        <v>23</v>
      </c>
    </row>
    <row r="832" customFormat="false" ht="15" hidden="false" customHeight="false" outlineLevel="0" collapsed="false">
      <c r="A832" s="3" t="s">
        <v>865</v>
      </c>
      <c r="B832" s="3" t="s">
        <v>29</v>
      </c>
      <c r="C832" s="3" t="n">
        <v>441</v>
      </c>
      <c r="D832" s="3" t="n">
        <v>67</v>
      </c>
      <c r="E832" s="3" t="n">
        <v>172</v>
      </c>
      <c r="F832" s="3" t="n">
        <v>1059</v>
      </c>
      <c r="G832" s="3" t="n">
        <v>11</v>
      </c>
      <c r="H832" s="3" t="n">
        <v>218567.1</v>
      </c>
      <c r="I832" s="3" t="n">
        <v>229</v>
      </c>
      <c r="J832" s="3" t="n">
        <v>74838</v>
      </c>
      <c r="K832" s="3" t="n">
        <v>17720</v>
      </c>
      <c r="L832" s="3" t="n">
        <v>0</v>
      </c>
      <c r="M832" s="4" t="n">
        <f aca="false">IFERROR(D832/C832,0)</f>
        <v>0.151927437641723</v>
      </c>
      <c r="N832" s="4" t="n">
        <f aca="false">IFERROR(E832/C832,0)</f>
        <v>0.390022675736962</v>
      </c>
      <c r="O832" s="5" t="n">
        <f aca="false">IFERROR(F832/MAX(C832-D832,1),0)</f>
        <v>2.83155080213904</v>
      </c>
      <c r="P832" s="5" t="n">
        <f aca="false">IFERROR(F832/C832,0)</f>
        <v>2.40136054421769</v>
      </c>
      <c r="Q832" s="5" t="n">
        <f aca="false">IFERROR(H832/C832,0)</f>
        <v>495.617006802721</v>
      </c>
      <c r="R832" s="4" t="n">
        <f aca="false">IFERROR(I832/F832,0)</f>
        <v>0.216241737488196</v>
      </c>
      <c r="S832" s="4" t="n">
        <f aca="false">IFERROR(K832/J832,0)</f>
        <v>0.236778107378604</v>
      </c>
      <c r="T832" s="6" t="s">
        <v>23</v>
      </c>
    </row>
    <row r="833" customFormat="false" ht="15" hidden="false" customHeight="false" outlineLevel="0" collapsed="false">
      <c r="A833" s="9" t="s">
        <v>866</v>
      </c>
      <c r="B833" s="9" t="s">
        <v>26</v>
      </c>
      <c r="C833" s="9" t="n">
        <v>422</v>
      </c>
      <c r="D833" s="9" t="n">
        <v>136</v>
      </c>
      <c r="E833" s="9" t="n">
        <v>240</v>
      </c>
      <c r="F833" s="9" t="n">
        <v>3454</v>
      </c>
      <c r="G833" s="9" t="n">
        <v>23</v>
      </c>
      <c r="H833" s="9" t="n">
        <v>353111.7</v>
      </c>
      <c r="I833" s="9" t="n">
        <v>2534</v>
      </c>
      <c r="J833" s="9" t="n">
        <v>29580</v>
      </c>
      <c r="K833" s="9" t="n">
        <v>14132</v>
      </c>
      <c r="L833" s="9" t="n">
        <v>159</v>
      </c>
      <c r="M833" s="10" t="n">
        <f aca="false">IFERROR(D833/C833,0)</f>
        <v>0.322274881516588</v>
      </c>
      <c r="N833" s="10" t="n">
        <f aca="false">IFERROR(E833/C833,0)</f>
        <v>0.568720379146919</v>
      </c>
      <c r="O833" s="11" t="n">
        <f aca="false">IFERROR(F833/MAX(C833-D833,1),0)</f>
        <v>12.0769230769231</v>
      </c>
      <c r="P833" s="11" t="n">
        <f aca="false">IFERROR(F833/C833,0)</f>
        <v>8.18483412322275</v>
      </c>
      <c r="Q833" s="11" t="n">
        <f aca="false">IFERROR(H833/C833,0)</f>
        <v>836.757582938389</v>
      </c>
      <c r="R833" s="10" t="n">
        <f aca="false">IFERROR(I833/F833,0)</f>
        <v>0.73364215402432</v>
      </c>
      <c r="S833" s="10" t="n">
        <f aca="false">IFERROR(K833/J833,0)</f>
        <v>0.477755240027045</v>
      </c>
      <c r="T833" s="12" t="s">
        <v>30</v>
      </c>
    </row>
    <row r="834" customFormat="false" ht="15" hidden="false" customHeight="false" outlineLevel="0" collapsed="false">
      <c r="A834" s="9" t="s">
        <v>867</v>
      </c>
      <c r="B834" s="9" t="s">
        <v>29</v>
      </c>
      <c r="C834" s="9" t="n">
        <v>3849</v>
      </c>
      <c r="D834" s="9" t="n">
        <v>668</v>
      </c>
      <c r="E834" s="9" t="n">
        <v>1783</v>
      </c>
      <c r="F834" s="9" t="n">
        <v>23569</v>
      </c>
      <c r="G834" s="9" t="n">
        <v>13</v>
      </c>
      <c r="H834" s="9" t="n">
        <v>2931954.9</v>
      </c>
      <c r="I834" s="9" t="n">
        <v>15922</v>
      </c>
      <c r="J834" s="9" t="n">
        <v>689967</v>
      </c>
      <c r="K834" s="9" t="n">
        <v>676168</v>
      </c>
      <c r="L834" s="9" t="n">
        <v>0</v>
      </c>
      <c r="M834" s="10" t="n">
        <f aca="false">IFERROR(D834/C834,0)</f>
        <v>0.173551571836841</v>
      </c>
      <c r="N834" s="10" t="n">
        <f aca="false">IFERROR(E834/C834,0)</f>
        <v>0.463237204468693</v>
      </c>
      <c r="O834" s="11" t="n">
        <f aca="false">IFERROR(F834/MAX(C834-D834,1),0)</f>
        <v>7.40930524992141</v>
      </c>
      <c r="P834" s="11" t="n">
        <f aca="false">IFERROR(F834/C834,0)</f>
        <v>6.12340867757859</v>
      </c>
      <c r="Q834" s="11" t="n">
        <f aca="false">IFERROR(H834/C834,0)</f>
        <v>761.744583008574</v>
      </c>
      <c r="R834" s="10" t="n">
        <f aca="false">IFERROR(I834/F834,0)</f>
        <v>0.675548389834104</v>
      </c>
      <c r="S834" s="10" t="n">
        <f aca="false">IFERROR(K834/J834,0)</f>
        <v>0.980000492777191</v>
      </c>
      <c r="T834" s="12" t="s">
        <v>30</v>
      </c>
    </row>
    <row r="835" customFormat="false" ht="15" hidden="false" customHeight="false" outlineLevel="0" collapsed="false">
      <c r="A835" s="3" t="s">
        <v>868</v>
      </c>
      <c r="B835" s="3" t="s">
        <v>26</v>
      </c>
      <c r="C835" s="3" t="n">
        <v>2821</v>
      </c>
      <c r="D835" s="3" t="n">
        <v>152</v>
      </c>
      <c r="E835" s="3" t="n">
        <v>692</v>
      </c>
      <c r="F835" s="3" t="n">
        <v>5683</v>
      </c>
      <c r="G835" s="3" t="n">
        <v>7</v>
      </c>
      <c r="H835" s="3" t="n">
        <v>1085265.1</v>
      </c>
      <c r="I835" s="3" t="n">
        <v>1023</v>
      </c>
      <c r="J835" s="3" t="n">
        <v>321762</v>
      </c>
      <c r="K835" s="3" t="n">
        <v>55606</v>
      </c>
      <c r="L835" s="3" t="n">
        <v>1081</v>
      </c>
      <c r="M835" s="4" t="n">
        <f aca="false">IFERROR(D835/C835,0)</f>
        <v>0.053881602268699</v>
      </c>
      <c r="N835" s="4" t="n">
        <f aca="false">IFERROR(E835/C835,0)</f>
        <v>0.245303084012761</v>
      </c>
      <c r="O835" s="5" t="n">
        <f aca="false">IFERROR(F835/MAX(C835-D835,1),0)</f>
        <v>2.12926189584114</v>
      </c>
      <c r="P835" s="5" t="n">
        <f aca="false">IFERROR(F835/C835,0)</f>
        <v>2.01453385324353</v>
      </c>
      <c r="Q835" s="5" t="n">
        <f aca="false">IFERROR(H835/C835,0)</f>
        <v>384.709358383552</v>
      </c>
      <c r="R835" s="4" t="n">
        <f aca="false">IFERROR(I835/F835,0)</f>
        <v>0.180010557803977</v>
      </c>
      <c r="S835" s="4" t="n">
        <f aca="false">IFERROR(K835/J835,0)</f>
        <v>0.172817175427801</v>
      </c>
      <c r="T835" s="6" t="s">
        <v>23</v>
      </c>
    </row>
    <row r="836" customFormat="false" ht="15" hidden="false" customHeight="false" outlineLevel="0" collapsed="false">
      <c r="A836" s="3" t="s">
        <v>869</v>
      </c>
      <c r="B836" s="3" t="s">
        <v>29</v>
      </c>
      <c r="C836" s="3" t="n">
        <v>1713</v>
      </c>
      <c r="D836" s="3" t="n">
        <v>133</v>
      </c>
      <c r="E836" s="3" t="n">
        <v>702</v>
      </c>
      <c r="F836" s="3" t="n">
        <v>2939</v>
      </c>
      <c r="G836" s="3" t="n">
        <v>5</v>
      </c>
      <c r="H836" s="3" t="n">
        <v>700184.5</v>
      </c>
      <c r="I836" s="3" t="n">
        <v>542</v>
      </c>
      <c r="J836" s="3" t="n">
        <v>225195</v>
      </c>
      <c r="K836" s="3" t="n">
        <v>43008</v>
      </c>
      <c r="L836" s="3" t="n">
        <v>0</v>
      </c>
      <c r="M836" s="4" t="n">
        <f aca="false">IFERROR(D836/C836,0)</f>
        <v>0.0776415645067134</v>
      </c>
      <c r="N836" s="4" t="n">
        <f aca="false">IFERROR(E836/C836,0)</f>
        <v>0.409807355516638</v>
      </c>
      <c r="O836" s="5" t="n">
        <f aca="false">IFERROR(F836/MAX(C836-D836,1),0)</f>
        <v>1.86012658227848</v>
      </c>
      <c r="P836" s="5" t="n">
        <f aca="false">IFERROR(F836/C836,0)</f>
        <v>1.71570344424985</v>
      </c>
      <c r="Q836" s="5" t="n">
        <f aca="false">IFERROR(H836/C836,0)</f>
        <v>408.747518972563</v>
      </c>
      <c r="R836" s="4" t="n">
        <f aca="false">IFERROR(I836/F836,0)</f>
        <v>0.184416468186458</v>
      </c>
      <c r="S836" s="4" t="n">
        <f aca="false">IFERROR(K836/J836,0)</f>
        <v>0.190981149670286</v>
      </c>
      <c r="T836" s="6" t="s">
        <v>23</v>
      </c>
    </row>
    <row r="837" customFormat="false" ht="15" hidden="false" customHeight="false" outlineLevel="0" collapsed="false">
      <c r="A837" s="3" t="s">
        <v>870</v>
      </c>
      <c r="B837" s="3" t="s">
        <v>29</v>
      </c>
      <c r="C837" s="3" t="n">
        <v>197</v>
      </c>
      <c r="D837" s="3" t="n">
        <v>15</v>
      </c>
      <c r="E837" s="3" t="n">
        <v>72</v>
      </c>
      <c r="F837" s="3" t="n">
        <v>580</v>
      </c>
      <c r="G837" s="3" t="n">
        <v>13</v>
      </c>
      <c r="H837" s="3" t="n">
        <v>78369.7</v>
      </c>
      <c r="I837" s="3" t="n">
        <v>99</v>
      </c>
      <c r="J837" s="3" t="n">
        <v>27799</v>
      </c>
      <c r="K837" s="3" t="n">
        <v>5001</v>
      </c>
      <c r="L837" s="3" t="n">
        <v>0</v>
      </c>
      <c r="M837" s="4" t="n">
        <f aca="false">IFERROR(D837/C837,0)</f>
        <v>0.0761421319796954</v>
      </c>
      <c r="N837" s="4" t="n">
        <f aca="false">IFERROR(E837/C837,0)</f>
        <v>0.365482233502538</v>
      </c>
      <c r="O837" s="5" t="n">
        <f aca="false">IFERROR(F837/MAX(C837-D837,1),0)</f>
        <v>3.18681318681319</v>
      </c>
      <c r="P837" s="5" t="n">
        <f aca="false">IFERROR(F837/C837,0)</f>
        <v>2.94416243654822</v>
      </c>
      <c r="Q837" s="5" t="n">
        <f aca="false">IFERROR(H837/C837,0)</f>
        <v>397.815736040609</v>
      </c>
      <c r="R837" s="4" t="n">
        <f aca="false">IFERROR(I837/F837,0)</f>
        <v>0.170689655172414</v>
      </c>
      <c r="S837" s="4" t="n">
        <f aca="false">IFERROR(K837/J837,0)</f>
        <v>0.179898557502068</v>
      </c>
      <c r="T837" s="6" t="s">
        <v>23</v>
      </c>
    </row>
    <row r="838" customFormat="false" ht="15" hidden="false" customHeight="false" outlineLevel="0" collapsed="false">
      <c r="A838" s="3" t="s">
        <v>871</v>
      </c>
      <c r="B838" s="3" t="s">
        <v>26</v>
      </c>
      <c r="C838" s="3" t="n">
        <v>2138</v>
      </c>
      <c r="D838" s="3" t="n">
        <v>224</v>
      </c>
      <c r="E838" s="3" t="n">
        <v>921</v>
      </c>
      <c r="F838" s="3" t="n">
        <v>6693</v>
      </c>
      <c r="G838" s="3" t="n">
        <v>14</v>
      </c>
      <c r="H838" s="3" t="n">
        <v>1209990.1</v>
      </c>
      <c r="I838" s="3" t="n">
        <v>1441</v>
      </c>
      <c r="J838" s="3" t="n">
        <v>220769</v>
      </c>
      <c r="K838" s="3" t="n">
        <v>54639</v>
      </c>
      <c r="L838" s="3" t="n">
        <v>795</v>
      </c>
      <c r="M838" s="4" t="n">
        <f aca="false">IFERROR(D838/C838,0)</f>
        <v>0.104770813844715</v>
      </c>
      <c r="N838" s="4" t="n">
        <f aca="false">IFERROR(E838/C838,0)</f>
        <v>0.430776426566885</v>
      </c>
      <c r="O838" s="5" t="n">
        <f aca="false">IFERROR(F838/MAX(C838-D838,1),0)</f>
        <v>3.49686520376176</v>
      </c>
      <c r="P838" s="5" t="n">
        <f aca="false">IFERROR(F838/C838,0)</f>
        <v>3.13049579045837</v>
      </c>
      <c r="Q838" s="5" t="n">
        <f aca="false">IFERROR(H838/C838,0)</f>
        <v>565.944855004677</v>
      </c>
      <c r="R838" s="4" t="n">
        <f aca="false">IFERROR(I838/F838,0)</f>
        <v>0.21529956671149</v>
      </c>
      <c r="S838" s="4" t="n">
        <f aca="false">IFERROR(K838/J838,0)</f>
        <v>0.247493986927512</v>
      </c>
      <c r="T838" s="6" t="s">
        <v>23</v>
      </c>
    </row>
    <row r="839" customFormat="false" ht="15" hidden="false" customHeight="false" outlineLevel="0" collapsed="false">
      <c r="A839" s="3" t="s">
        <v>872</v>
      </c>
      <c r="B839" s="3" t="s">
        <v>29</v>
      </c>
      <c r="C839" s="3" t="n">
        <v>1467</v>
      </c>
      <c r="D839" s="3" t="n">
        <v>185</v>
      </c>
      <c r="E839" s="3" t="n">
        <v>669</v>
      </c>
      <c r="F839" s="3" t="n">
        <v>4327</v>
      </c>
      <c r="G839" s="3" t="n">
        <v>14</v>
      </c>
      <c r="H839" s="3" t="n">
        <v>815061.2</v>
      </c>
      <c r="I839" s="3" t="n">
        <v>1004</v>
      </c>
      <c r="J839" s="3" t="n">
        <v>254135</v>
      </c>
      <c r="K839" s="3" t="n">
        <v>54305</v>
      </c>
      <c r="L839" s="3" t="n">
        <v>0</v>
      </c>
      <c r="M839" s="4" t="n">
        <f aca="false">IFERROR(D839/C839,0)</f>
        <v>0.126107702794819</v>
      </c>
      <c r="N839" s="4" t="n">
        <f aca="false">IFERROR(E839/C839,0)</f>
        <v>0.456032719836401</v>
      </c>
      <c r="O839" s="5" t="n">
        <f aca="false">IFERROR(F839/MAX(C839-D839,1),0)</f>
        <v>3.37519500780031</v>
      </c>
      <c r="P839" s="5" t="n">
        <f aca="false">IFERROR(F839/C839,0)</f>
        <v>2.94955691888207</v>
      </c>
      <c r="Q839" s="5" t="n">
        <f aca="false">IFERROR(H839/C839,0)</f>
        <v>555.597273346967</v>
      </c>
      <c r="R839" s="4" t="n">
        <f aca="false">IFERROR(I839/F839,0)</f>
        <v>0.232031430552346</v>
      </c>
      <c r="S839" s="4" t="n">
        <f aca="false">IFERROR(K839/J839,0)</f>
        <v>0.213685639522301</v>
      </c>
      <c r="T839" s="6" t="s">
        <v>23</v>
      </c>
    </row>
    <row r="840" customFormat="false" ht="15" hidden="false" customHeight="false" outlineLevel="0" collapsed="false">
      <c r="A840" s="3" t="s">
        <v>873</v>
      </c>
      <c r="B840" s="3" t="s">
        <v>26</v>
      </c>
      <c r="C840" s="3" t="n">
        <v>2199</v>
      </c>
      <c r="D840" s="3" t="n">
        <v>263</v>
      </c>
      <c r="E840" s="3" t="n">
        <v>787</v>
      </c>
      <c r="F840" s="3" t="n">
        <v>6089</v>
      </c>
      <c r="G840" s="3" t="n">
        <v>9</v>
      </c>
      <c r="H840" s="3" t="n">
        <v>987557.1</v>
      </c>
      <c r="I840" s="3" t="n">
        <v>1385</v>
      </c>
      <c r="J840" s="3" t="n">
        <v>415393</v>
      </c>
      <c r="K840" s="3" t="n">
        <v>85623</v>
      </c>
      <c r="L840" s="3" t="n">
        <v>958</v>
      </c>
      <c r="M840" s="4" t="n">
        <f aca="false">IFERROR(D840/C840,0)</f>
        <v>0.119599818099136</v>
      </c>
      <c r="N840" s="4" t="n">
        <f aca="false">IFERROR(E840/C840,0)</f>
        <v>0.357889949977262</v>
      </c>
      <c r="O840" s="5" t="n">
        <f aca="false">IFERROR(F840/MAX(C840-D840,1),0)</f>
        <v>3.14514462809917</v>
      </c>
      <c r="P840" s="5" t="n">
        <f aca="false">IFERROR(F840/C840,0)</f>
        <v>2.76898590268304</v>
      </c>
      <c r="Q840" s="5" t="n">
        <f aca="false">IFERROR(H840/C840,0)</f>
        <v>449.093724420191</v>
      </c>
      <c r="R840" s="4" t="n">
        <f aca="false">IFERROR(I840/F840,0)</f>
        <v>0.227459352931516</v>
      </c>
      <c r="S840" s="4" t="n">
        <f aca="false">IFERROR(K840/J840,0)</f>
        <v>0.20612528376742</v>
      </c>
      <c r="T840" s="6" t="s">
        <v>23</v>
      </c>
    </row>
    <row r="841" customFormat="false" ht="15" hidden="false" customHeight="false" outlineLevel="0" collapsed="false">
      <c r="A841" s="3" t="s">
        <v>874</v>
      </c>
      <c r="B841" s="3" t="s">
        <v>22</v>
      </c>
      <c r="C841" s="3" t="n">
        <v>689</v>
      </c>
      <c r="D841" s="3" t="n">
        <v>98</v>
      </c>
      <c r="E841" s="3" t="n">
        <v>234</v>
      </c>
      <c r="F841" s="3" t="n">
        <v>2129</v>
      </c>
      <c r="G841" s="3" t="n">
        <v>12</v>
      </c>
      <c r="H841" s="3" t="n">
        <v>305867.2</v>
      </c>
      <c r="I841" s="3" t="n">
        <v>375</v>
      </c>
      <c r="J841" s="3" t="n">
        <v>74737</v>
      </c>
      <c r="K841" s="3" t="n">
        <v>12484</v>
      </c>
      <c r="L841" s="3" t="n">
        <v>200</v>
      </c>
      <c r="M841" s="4" t="n">
        <f aca="false">IFERROR(D841/C841,0)</f>
        <v>0.142235123367199</v>
      </c>
      <c r="N841" s="4" t="n">
        <f aca="false">IFERROR(E841/C841,0)</f>
        <v>0.339622641509434</v>
      </c>
      <c r="O841" s="5" t="n">
        <f aca="false">IFERROR(F841/MAX(C841-D841,1),0)</f>
        <v>3.60236886632826</v>
      </c>
      <c r="P841" s="5" t="n">
        <f aca="false">IFERROR(F841/C841,0)</f>
        <v>3.0899854862119</v>
      </c>
      <c r="Q841" s="5" t="n">
        <f aca="false">IFERROR(H841/C841,0)</f>
        <v>443.929172714078</v>
      </c>
      <c r="R841" s="4" t="n">
        <f aca="false">IFERROR(I841/F841,0)</f>
        <v>0.176139032409582</v>
      </c>
      <c r="S841" s="4" t="n">
        <f aca="false">IFERROR(K841/J841,0)</f>
        <v>0.167039083720246</v>
      </c>
      <c r="T841" s="6" t="s">
        <v>23</v>
      </c>
    </row>
    <row r="842" customFormat="false" ht="15" hidden="false" customHeight="false" outlineLevel="0" collapsed="false">
      <c r="A842" s="3" t="s">
        <v>875</v>
      </c>
      <c r="B842" s="3" t="s">
        <v>26</v>
      </c>
      <c r="C842" s="3" t="n">
        <v>3827</v>
      </c>
      <c r="D842" s="3" t="n">
        <v>637</v>
      </c>
      <c r="E842" s="3" t="n">
        <v>1487</v>
      </c>
      <c r="F842" s="3" t="n">
        <v>13299</v>
      </c>
      <c r="G842" s="3" t="n">
        <v>17</v>
      </c>
      <c r="H842" s="3" t="n">
        <v>1548211.4</v>
      </c>
      <c r="I842" s="3" t="n">
        <v>2454</v>
      </c>
      <c r="J842" s="3" t="n">
        <v>423676</v>
      </c>
      <c r="K842" s="3" t="n">
        <v>104833</v>
      </c>
      <c r="L842" s="3" t="n">
        <v>747</v>
      </c>
      <c r="M842" s="4" t="n">
        <f aca="false">IFERROR(D842/C842,0)</f>
        <v>0.166448915599686</v>
      </c>
      <c r="N842" s="4" t="n">
        <f aca="false">IFERROR(E842/C842,0)</f>
        <v>0.388555003919519</v>
      </c>
      <c r="O842" s="5" t="n">
        <f aca="false">IFERROR(F842/MAX(C842-D842,1),0)</f>
        <v>4.16896551724138</v>
      </c>
      <c r="P842" s="5" t="n">
        <f aca="false">IFERROR(F842/C842,0)</f>
        <v>3.47504572772407</v>
      </c>
      <c r="Q842" s="5" t="n">
        <f aca="false">IFERROR(H842/C842,0)</f>
        <v>404.549621113143</v>
      </c>
      <c r="R842" s="4" t="n">
        <f aca="false">IFERROR(I842/F842,0)</f>
        <v>0.184525152267088</v>
      </c>
      <c r="S842" s="4" t="n">
        <f aca="false">IFERROR(K842/J842,0)</f>
        <v>0.247436720512845</v>
      </c>
      <c r="T842" s="6" t="s">
        <v>23</v>
      </c>
    </row>
    <row r="843" customFormat="false" ht="15" hidden="false" customHeight="false" outlineLevel="0" collapsed="false">
      <c r="A843" s="3" t="s">
        <v>876</v>
      </c>
      <c r="B843" s="3" t="s">
        <v>22</v>
      </c>
      <c r="C843" s="3" t="n">
        <v>2388</v>
      </c>
      <c r="D843" s="3" t="n">
        <v>286</v>
      </c>
      <c r="E843" s="3" t="n">
        <v>994</v>
      </c>
      <c r="F843" s="3" t="n">
        <v>6288</v>
      </c>
      <c r="G843" s="3" t="n">
        <v>10</v>
      </c>
      <c r="H843" s="3" t="n">
        <v>1267824.5</v>
      </c>
      <c r="I843" s="3" t="n">
        <v>1663</v>
      </c>
      <c r="J843" s="3" t="n">
        <v>446152</v>
      </c>
      <c r="K843" s="3" t="n">
        <v>85295</v>
      </c>
      <c r="L843" s="3" t="n">
        <v>505</v>
      </c>
      <c r="M843" s="4" t="n">
        <f aca="false">IFERROR(D843/C843,0)</f>
        <v>0.119765494137353</v>
      </c>
      <c r="N843" s="4" t="n">
        <f aca="false">IFERROR(E843/C843,0)</f>
        <v>0.416247906197655</v>
      </c>
      <c r="O843" s="5" t="n">
        <f aca="false">IFERROR(F843/MAX(C843-D843,1),0)</f>
        <v>2.99143672692674</v>
      </c>
      <c r="P843" s="5" t="n">
        <f aca="false">IFERROR(F843/C843,0)</f>
        <v>2.63316582914573</v>
      </c>
      <c r="Q843" s="5" t="n">
        <f aca="false">IFERROR(H843/C843,0)</f>
        <v>530.914782244556</v>
      </c>
      <c r="R843" s="4" t="n">
        <f aca="false">IFERROR(I843/F843,0)</f>
        <v>0.264472010178117</v>
      </c>
      <c r="S843" s="4" t="n">
        <f aca="false">IFERROR(K843/J843,0)</f>
        <v>0.19117923936237</v>
      </c>
      <c r="T843" s="6" t="s">
        <v>23</v>
      </c>
    </row>
    <row r="844" customFormat="false" ht="15" hidden="false" customHeight="false" outlineLevel="0" collapsed="false">
      <c r="A844" s="3" t="s">
        <v>877</v>
      </c>
      <c r="B844" s="3" t="s">
        <v>29</v>
      </c>
      <c r="C844" s="3" t="n">
        <v>2524</v>
      </c>
      <c r="D844" s="3" t="n">
        <v>134</v>
      </c>
      <c r="E844" s="3" t="n">
        <v>920</v>
      </c>
      <c r="F844" s="3" t="n">
        <v>8285</v>
      </c>
      <c r="G844" s="3" t="n">
        <v>12</v>
      </c>
      <c r="H844" s="3" t="n">
        <v>888188.2</v>
      </c>
      <c r="I844" s="3" t="n">
        <v>1210</v>
      </c>
      <c r="J844" s="3" t="n">
        <v>385388</v>
      </c>
      <c r="K844" s="3" t="n">
        <v>78876</v>
      </c>
      <c r="L844" s="3" t="n">
        <v>0</v>
      </c>
      <c r="M844" s="4" t="n">
        <f aca="false">IFERROR(D844/C844,0)</f>
        <v>0.0530903328050713</v>
      </c>
      <c r="N844" s="4" t="n">
        <f aca="false">IFERROR(E844/C844,0)</f>
        <v>0.364500792393027</v>
      </c>
      <c r="O844" s="5" t="n">
        <f aca="false">IFERROR(F844/MAX(C844-D844,1),0)</f>
        <v>3.46652719665272</v>
      </c>
      <c r="P844" s="5" t="n">
        <f aca="false">IFERROR(F844/C844,0)</f>
        <v>3.2824881141046</v>
      </c>
      <c r="Q844" s="5" t="n">
        <f aca="false">IFERROR(H844/C844,0)</f>
        <v>351.8970681458</v>
      </c>
      <c r="R844" s="4" t="n">
        <f aca="false">IFERROR(I844/F844,0)</f>
        <v>0.146047073023537</v>
      </c>
      <c r="S844" s="4" t="n">
        <f aca="false">IFERROR(K844/J844,0)</f>
        <v>0.204666466003093</v>
      </c>
      <c r="T844" s="6" t="s">
        <v>23</v>
      </c>
    </row>
    <row r="845" customFormat="false" ht="15" hidden="false" customHeight="false" outlineLevel="0" collapsed="false">
      <c r="A845" s="3" t="s">
        <v>878</v>
      </c>
      <c r="B845" s="3" t="s">
        <v>26</v>
      </c>
      <c r="C845" s="3" t="n">
        <v>846</v>
      </c>
      <c r="D845" s="3" t="n">
        <v>73</v>
      </c>
      <c r="E845" s="3" t="n">
        <v>236</v>
      </c>
      <c r="F845" s="3" t="n">
        <v>1880</v>
      </c>
      <c r="G845" s="3" t="n">
        <v>8</v>
      </c>
      <c r="H845" s="3" t="n">
        <v>409312.4</v>
      </c>
      <c r="I845" s="3" t="n">
        <v>461</v>
      </c>
      <c r="J845" s="3" t="n">
        <v>160159</v>
      </c>
      <c r="K845" s="3" t="n">
        <v>27119</v>
      </c>
      <c r="L845" s="3" t="n">
        <v>206</v>
      </c>
      <c r="M845" s="4" t="n">
        <f aca="false">IFERROR(D845/C845,0)</f>
        <v>0.0862884160756501</v>
      </c>
      <c r="N845" s="4" t="n">
        <f aca="false">IFERROR(E845/C845,0)</f>
        <v>0.278959810874705</v>
      </c>
      <c r="O845" s="5" t="n">
        <f aca="false">IFERROR(F845/MAX(C845-D845,1),0)</f>
        <v>2.43208279430789</v>
      </c>
      <c r="P845" s="5" t="n">
        <f aca="false">IFERROR(F845/C845,0)</f>
        <v>2.22222222222222</v>
      </c>
      <c r="Q845" s="5" t="n">
        <f aca="false">IFERROR(H845/C845,0)</f>
        <v>483.820803782506</v>
      </c>
      <c r="R845" s="4" t="n">
        <f aca="false">IFERROR(I845/F845,0)</f>
        <v>0.245212765957447</v>
      </c>
      <c r="S845" s="4" t="n">
        <f aca="false">IFERROR(K845/J845,0)</f>
        <v>0.169325482801466</v>
      </c>
      <c r="T845" s="6" t="s">
        <v>23</v>
      </c>
    </row>
    <row r="846" customFormat="false" ht="15" hidden="false" customHeight="false" outlineLevel="0" collapsed="false">
      <c r="A846" s="3" t="s">
        <v>879</v>
      </c>
      <c r="B846" s="3" t="s">
        <v>26</v>
      </c>
      <c r="C846" s="3" t="n">
        <v>2174</v>
      </c>
      <c r="D846" s="3" t="n">
        <v>91</v>
      </c>
      <c r="E846" s="3" t="n">
        <v>554</v>
      </c>
      <c r="F846" s="3" t="n">
        <v>3946</v>
      </c>
      <c r="G846" s="3" t="n">
        <v>5</v>
      </c>
      <c r="H846" s="3" t="n">
        <v>648340</v>
      </c>
      <c r="I846" s="3" t="n">
        <v>671</v>
      </c>
      <c r="J846" s="3" t="n">
        <v>196328</v>
      </c>
      <c r="K846" s="3" t="n">
        <v>38123</v>
      </c>
      <c r="L846" s="3" t="n">
        <v>715</v>
      </c>
      <c r="M846" s="4" t="n">
        <f aca="false">IFERROR(D846/C846,0)</f>
        <v>0.0418583256669733</v>
      </c>
      <c r="N846" s="4" t="n">
        <f aca="false">IFERROR(E846/C846,0)</f>
        <v>0.254829806807728</v>
      </c>
      <c r="O846" s="5" t="n">
        <f aca="false">IFERROR(F846/MAX(C846-D846,1),0)</f>
        <v>1.89438310129621</v>
      </c>
      <c r="P846" s="5" t="n">
        <f aca="false">IFERROR(F846/C846,0)</f>
        <v>1.81508739650414</v>
      </c>
      <c r="Q846" s="5" t="n">
        <f aca="false">IFERROR(H846/C846,0)</f>
        <v>298.224471021159</v>
      </c>
      <c r="R846" s="4" t="n">
        <f aca="false">IFERROR(I846/F846,0)</f>
        <v>0.170045615813482</v>
      </c>
      <c r="S846" s="4" t="n">
        <f aca="false">IFERROR(K846/J846,0)</f>
        <v>0.194180147508252</v>
      </c>
      <c r="T846" s="6" t="s">
        <v>23</v>
      </c>
    </row>
    <row r="847" customFormat="false" ht="15" hidden="false" customHeight="false" outlineLevel="0" collapsed="false">
      <c r="A847" s="9" t="s">
        <v>880</v>
      </c>
      <c r="B847" s="9" t="s">
        <v>26</v>
      </c>
      <c r="C847" s="9" t="n">
        <v>2015</v>
      </c>
      <c r="D847" s="9" t="n">
        <v>336</v>
      </c>
      <c r="E847" s="9" t="n">
        <v>707</v>
      </c>
      <c r="F847" s="9" t="n">
        <v>10973</v>
      </c>
      <c r="G847" s="9" t="n">
        <v>9</v>
      </c>
      <c r="H847" s="9" t="n">
        <v>1468243.6</v>
      </c>
      <c r="I847" s="9" t="n">
        <v>4912</v>
      </c>
      <c r="J847" s="9" t="n">
        <v>259068</v>
      </c>
      <c r="K847" s="9" t="n">
        <v>237309</v>
      </c>
      <c r="L847" s="9" t="n">
        <v>500</v>
      </c>
      <c r="M847" s="10" t="n">
        <f aca="false">IFERROR(D847/C847,0)</f>
        <v>0.166749379652605</v>
      </c>
      <c r="N847" s="10" t="n">
        <f aca="false">IFERROR(E847/C847,0)</f>
        <v>0.350868486352357</v>
      </c>
      <c r="O847" s="11" t="n">
        <f aca="false">IFERROR(F847/MAX(C847-D847,1),0)</f>
        <v>6.53543776057177</v>
      </c>
      <c r="P847" s="11" t="n">
        <f aca="false">IFERROR(F847/C847,0)</f>
        <v>5.44565756823821</v>
      </c>
      <c r="Q847" s="11" t="n">
        <f aca="false">IFERROR(H847/C847,0)</f>
        <v>728.656873449132</v>
      </c>
      <c r="R847" s="10" t="n">
        <f aca="false">IFERROR(I847/F847,0)</f>
        <v>0.44764421762508</v>
      </c>
      <c r="S847" s="10" t="n">
        <f aca="false">IFERROR(K847/J847,0)</f>
        <v>0.916010468294039</v>
      </c>
      <c r="T847" s="12" t="s">
        <v>30</v>
      </c>
    </row>
    <row r="848" customFormat="false" ht="15" hidden="false" customHeight="false" outlineLevel="0" collapsed="false">
      <c r="A848" s="3" t="s">
        <v>881</v>
      </c>
      <c r="B848" s="3" t="s">
        <v>29</v>
      </c>
      <c r="C848" s="3" t="n">
        <v>3062</v>
      </c>
      <c r="D848" s="3" t="n">
        <v>217</v>
      </c>
      <c r="E848" s="3" t="n">
        <v>1273</v>
      </c>
      <c r="F848" s="3" t="n">
        <v>4668</v>
      </c>
      <c r="G848" s="3" t="n">
        <v>5</v>
      </c>
      <c r="H848" s="3" t="n">
        <v>772512.9</v>
      </c>
      <c r="I848" s="3" t="n">
        <v>703</v>
      </c>
      <c r="J848" s="3" t="n">
        <v>478615</v>
      </c>
      <c r="K848" s="3" t="n">
        <v>59207</v>
      </c>
      <c r="L848" s="3" t="n">
        <v>0</v>
      </c>
      <c r="M848" s="4" t="n">
        <f aca="false">IFERROR(D848/C848,0)</f>
        <v>0.0708687132593076</v>
      </c>
      <c r="N848" s="4" t="n">
        <f aca="false">IFERROR(E848/C848,0)</f>
        <v>0.4157413455258</v>
      </c>
      <c r="O848" s="5" t="n">
        <f aca="false">IFERROR(F848/MAX(C848-D848,1),0)</f>
        <v>1.64077328646749</v>
      </c>
      <c r="P848" s="5" t="n">
        <f aca="false">IFERROR(F848/C848,0)</f>
        <v>1.52449379490529</v>
      </c>
      <c r="Q848" s="5" t="n">
        <f aca="false">IFERROR(H848/C848,0)</f>
        <v>252.290300457218</v>
      </c>
      <c r="R848" s="4" t="n">
        <f aca="false">IFERROR(I848/F848,0)</f>
        <v>0.150599828620394</v>
      </c>
      <c r="S848" s="4" t="n">
        <f aca="false">IFERROR(K848/J848,0)</f>
        <v>0.123704856722</v>
      </c>
      <c r="T848" s="6" t="s">
        <v>23</v>
      </c>
    </row>
    <row r="849" customFormat="false" ht="15" hidden="false" customHeight="false" outlineLevel="0" collapsed="false">
      <c r="A849" s="3" t="s">
        <v>882</v>
      </c>
      <c r="B849" s="3" t="s">
        <v>22</v>
      </c>
      <c r="C849" s="3" t="n">
        <v>3606</v>
      </c>
      <c r="D849" s="3" t="n">
        <v>187</v>
      </c>
      <c r="E849" s="3" t="n">
        <v>1225</v>
      </c>
      <c r="F849" s="3" t="n">
        <v>2064</v>
      </c>
      <c r="G849" s="3" t="n">
        <v>1</v>
      </c>
      <c r="H849" s="3" t="n">
        <v>1174369.2</v>
      </c>
      <c r="I849" s="3" t="n">
        <v>542</v>
      </c>
      <c r="J849" s="3" t="n">
        <v>453637</v>
      </c>
      <c r="K849" s="3" t="n">
        <v>66776</v>
      </c>
      <c r="L849" s="3" t="n">
        <v>511</v>
      </c>
      <c r="M849" s="4" t="n">
        <f aca="false">IFERROR(D849/C849,0)</f>
        <v>0.0518580144204104</v>
      </c>
      <c r="N849" s="4" t="n">
        <f aca="false">IFERROR(E849/C849,0)</f>
        <v>0.339711591791459</v>
      </c>
      <c r="O849" s="5" t="n">
        <f aca="false">IFERROR(F849/MAX(C849-D849,1),0)</f>
        <v>0.603685288095935</v>
      </c>
      <c r="P849" s="5" t="n">
        <f aca="false">IFERROR(F849/C849,0)</f>
        <v>0.572379367720466</v>
      </c>
      <c r="Q849" s="5" t="n">
        <f aca="false">IFERROR(H849/C849,0)</f>
        <v>325.670881863561</v>
      </c>
      <c r="R849" s="4" t="n">
        <f aca="false">IFERROR(I849/F849,0)</f>
        <v>0.262596899224806</v>
      </c>
      <c r="S849" s="4" t="n">
        <f aca="false">IFERROR(K849/J849,0)</f>
        <v>0.147201396711468</v>
      </c>
      <c r="T849" s="6" t="s">
        <v>23</v>
      </c>
    </row>
    <row r="850" customFormat="false" ht="15" hidden="false" customHeight="false" outlineLevel="0" collapsed="false">
      <c r="A850" s="3" t="s">
        <v>883</v>
      </c>
      <c r="B850" s="3" t="s">
        <v>22</v>
      </c>
      <c r="C850" s="3" t="n">
        <v>2923</v>
      </c>
      <c r="D850" s="3" t="n">
        <v>299</v>
      </c>
      <c r="E850" s="3" t="n">
        <v>971</v>
      </c>
      <c r="F850" s="3" t="n">
        <v>11259</v>
      </c>
      <c r="G850" s="3" t="n">
        <v>14</v>
      </c>
      <c r="H850" s="3" t="n">
        <v>1226845.1</v>
      </c>
      <c r="I850" s="3" t="n">
        <v>2739</v>
      </c>
      <c r="J850" s="3" t="n">
        <v>411868</v>
      </c>
      <c r="K850" s="3" t="n">
        <v>76698</v>
      </c>
      <c r="L850" s="3" t="n">
        <v>1087</v>
      </c>
      <c r="M850" s="4" t="n">
        <f aca="false">IFERROR(D850/C850,0)</f>
        <v>0.102292165583305</v>
      </c>
      <c r="N850" s="4" t="n">
        <f aca="false">IFERROR(E850/C850,0)</f>
        <v>0.332192952446117</v>
      </c>
      <c r="O850" s="5" t="n">
        <f aca="false">IFERROR(F850/MAX(C850-D850,1),0)</f>
        <v>4.29077743902439</v>
      </c>
      <c r="P850" s="5" t="n">
        <f aca="false">IFERROR(F850/C850,0)</f>
        <v>3.8518645227506</v>
      </c>
      <c r="Q850" s="5" t="n">
        <f aca="false">IFERROR(H850/C850,0)</f>
        <v>419.721211084502</v>
      </c>
      <c r="R850" s="4" t="n">
        <f aca="false">IFERROR(I850/F850,0)</f>
        <v>0.243272049027445</v>
      </c>
      <c r="S850" s="4" t="n">
        <f aca="false">IFERROR(K850/J850,0)</f>
        <v>0.186219856847339</v>
      </c>
      <c r="T850" s="6" t="s">
        <v>23</v>
      </c>
    </row>
    <row r="851" customFormat="false" ht="15" hidden="false" customHeight="false" outlineLevel="0" collapsed="false">
      <c r="A851" s="3" t="s">
        <v>884</v>
      </c>
      <c r="B851" s="3" t="s">
        <v>29</v>
      </c>
      <c r="C851" s="3" t="n">
        <v>2957</v>
      </c>
      <c r="D851" s="3" t="n">
        <v>151</v>
      </c>
      <c r="E851" s="3" t="n">
        <v>1062</v>
      </c>
      <c r="F851" s="3" t="n">
        <v>6144</v>
      </c>
      <c r="G851" s="3" t="n">
        <v>7</v>
      </c>
      <c r="H851" s="3" t="n">
        <v>982089.4</v>
      </c>
      <c r="I851" s="3" t="n">
        <v>1234</v>
      </c>
      <c r="J851" s="3" t="n">
        <v>533882</v>
      </c>
      <c r="K851" s="3" t="n">
        <v>86584</v>
      </c>
      <c r="L851" s="3" t="n">
        <v>0</v>
      </c>
      <c r="M851" s="4" t="n">
        <f aca="false">IFERROR(D851/C851,0)</f>
        <v>0.0510652688535678</v>
      </c>
      <c r="N851" s="4" t="n">
        <f aca="false">IFERROR(E851/C851,0)</f>
        <v>0.359147784917146</v>
      </c>
      <c r="O851" s="5" t="n">
        <f aca="false">IFERROR(F851/MAX(C851-D851,1),0)</f>
        <v>2.1895937277263</v>
      </c>
      <c r="P851" s="5" t="n">
        <f aca="false">IFERROR(F851/C851,0)</f>
        <v>2.07778153533987</v>
      </c>
      <c r="Q851" s="5" t="n">
        <f aca="false">IFERROR(H851/C851,0)</f>
        <v>332.123571187014</v>
      </c>
      <c r="R851" s="4" t="n">
        <f aca="false">IFERROR(I851/F851,0)</f>
        <v>0.200846354166667</v>
      </c>
      <c r="S851" s="4" t="n">
        <f aca="false">IFERROR(K851/J851,0)</f>
        <v>0.162178159218704</v>
      </c>
      <c r="T851" s="6" t="s">
        <v>23</v>
      </c>
    </row>
    <row r="852" customFormat="false" ht="15" hidden="false" customHeight="false" outlineLevel="0" collapsed="false">
      <c r="A852" s="9" t="s">
        <v>885</v>
      </c>
      <c r="B852" s="9" t="s">
        <v>22</v>
      </c>
      <c r="C852" s="9" t="n">
        <v>429</v>
      </c>
      <c r="D852" s="9" t="n">
        <v>184</v>
      </c>
      <c r="E852" s="9" t="n">
        <v>320</v>
      </c>
      <c r="F852" s="9" t="n">
        <v>2327</v>
      </c>
      <c r="G852" s="9" t="n">
        <v>14</v>
      </c>
      <c r="H852" s="9" t="n">
        <v>456381.5</v>
      </c>
      <c r="I852" s="9" t="n">
        <v>1462</v>
      </c>
      <c r="J852" s="9" t="n">
        <v>67167</v>
      </c>
      <c r="K852" s="9" t="n">
        <v>41560</v>
      </c>
      <c r="L852" s="9" t="n">
        <v>138</v>
      </c>
      <c r="M852" s="10" t="n">
        <f aca="false">IFERROR(D852/C852,0)</f>
        <v>0.428904428904429</v>
      </c>
      <c r="N852" s="10" t="n">
        <f aca="false">IFERROR(E852/C852,0)</f>
        <v>0.745920745920746</v>
      </c>
      <c r="O852" s="11" t="n">
        <f aca="false">IFERROR(F852/MAX(C852-D852,1),0)</f>
        <v>9.49795918367347</v>
      </c>
      <c r="P852" s="11" t="n">
        <f aca="false">IFERROR(F852/C852,0)</f>
        <v>5.42424242424242</v>
      </c>
      <c r="Q852" s="11" t="n">
        <f aca="false">IFERROR(H852/C852,0)</f>
        <v>1063.82634032634</v>
      </c>
      <c r="R852" s="10" t="n">
        <f aca="false">IFERROR(I852/F852,0)</f>
        <v>0.628276751181779</v>
      </c>
      <c r="S852" s="10" t="n">
        <f aca="false">IFERROR(K852/J852,0)</f>
        <v>0.618756234460375</v>
      </c>
      <c r="T852" s="12" t="s">
        <v>30</v>
      </c>
    </row>
    <row r="853" customFormat="false" ht="15" hidden="false" customHeight="false" outlineLevel="0" collapsed="false">
      <c r="A853" s="3" t="s">
        <v>886</v>
      </c>
      <c r="B853" s="3" t="s">
        <v>22</v>
      </c>
      <c r="C853" s="3" t="n">
        <v>1036</v>
      </c>
      <c r="D853" s="3" t="n">
        <v>131</v>
      </c>
      <c r="E853" s="3" t="n">
        <v>441</v>
      </c>
      <c r="F853" s="3" t="n">
        <v>3563</v>
      </c>
      <c r="G853" s="3" t="n">
        <v>16</v>
      </c>
      <c r="H853" s="3" t="n">
        <v>395852.6</v>
      </c>
      <c r="I853" s="3" t="n">
        <v>947</v>
      </c>
      <c r="J853" s="3" t="n">
        <v>83408</v>
      </c>
      <c r="K853" s="3" t="n">
        <v>13329</v>
      </c>
      <c r="L853" s="3" t="n">
        <v>292</v>
      </c>
      <c r="M853" s="4" t="n">
        <f aca="false">IFERROR(D853/C853,0)</f>
        <v>0.126447876447876</v>
      </c>
      <c r="N853" s="4" t="n">
        <f aca="false">IFERROR(E853/C853,0)</f>
        <v>0.425675675675676</v>
      </c>
      <c r="O853" s="5" t="n">
        <f aca="false">IFERROR(F853/MAX(C853-D853,1),0)</f>
        <v>3.93701657458564</v>
      </c>
      <c r="P853" s="5" t="n">
        <f aca="false">IFERROR(F853/C853,0)</f>
        <v>3.43918918918919</v>
      </c>
      <c r="Q853" s="5" t="n">
        <f aca="false">IFERROR(H853/C853,0)</f>
        <v>382.097104247104</v>
      </c>
      <c r="R853" s="4" t="n">
        <f aca="false">IFERROR(I853/F853,0)</f>
        <v>0.265787257928712</v>
      </c>
      <c r="S853" s="4" t="n">
        <f aca="false">IFERROR(K853/J853,0)</f>
        <v>0.159804814885862</v>
      </c>
      <c r="T853" s="6" t="s">
        <v>23</v>
      </c>
    </row>
    <row r="854" customFormat="false" ht="15" hidden="false" customHeight="false" outlineLevel="0" collapsed="false">
      <c r="A854" s="9" t="s">
        <v>887</v>
      </c>
      <c r="B854" s="9" t="s">
        <v>29</v>
      </c>
      <c r="C854" s="9" t="n">
        <v>306</v>
      </c>
      <c r="D854" s="9" t="n">
        <v>99</v>
      </c>
      <c r="E854" s="9" t="n">
        <v>170</v>
      </c>
      <c r="F854" s="9" t="n">
        <v>2844</v>
      </c>
      <c r="G854" s="9" t="n">
        <v>30</v>
      </c>
      <c r="H854" s="9" t="n">
        <v>319738.9</v>
      </c>
      <c r="I854" s="9" t="n">
        <v>2133</v>
      </c>
      <c r="J854" s="9" t="n">
        <v>44926</v>
      </c>
      <c r="K854" s="9" t="n">
        <v>27207</v>
      </c>
      <c r="L854" s="9" t="n">
        <v>0</v>
      </c>
      <c r="M854" s="10" t="n">
        <f aca="false">IFERROR(D854/C854,0)</f>
        <v>0.323529411764706</v>
      </c>
      <c r="N854" s="10" t="n">
        <f aca="false">IFERROR(E854/C854,0)</f>
        <v>0.555555555555556</v>
      </c>
      <c r="O854" s="11" t="n">
        <f aca="false">IFERROR(F854/MAX(C854-D854,1),0)</f>
        <v>13.7391304347826</v>
      </c>
      <c r="P854" s="11" t="n">
        <f aca="false">IFERROR(F854/C854,0)</f>
        <v>9.29411764705882</v>
      </c>
      <c r="Q854" s="11" t="n">
        <f aca="false">IFERROR(H854/C854,0)</f>
        <v>1044.89836601307</v>
      </c>
      <c r="R854" s="10" t="n">
        <f aca="false">IFERROR(I854/F854,0)</f>
        <v>0.75</v>
      </c>
      <c r="S854" s="10" t="n">
        <f aca="false">IFERROR(K854/J854,0)</f>
        <v>0.605595868761964</v>
      </c>
      <c r="T854" s="12" t="s">
        <v>30</v>
      </c>
    </row>
    <row r="855" customFormat="false" ht="15" hidden="false" customHeight="false" outlineLevel="0" collapsed="false">
      <c r="A855" s="3" t="s">
        <v>888</v>
      </c>
      <c r="B855" s="3" t="s">
        <v>29</v>
      </c>
      <c r="C855" s="3" t="n">
        <v>1757</v>
      </c>
      <c r="D855" s="3" t="n">
        <v>206</v>
      </c>
      <c r="E855" s="3" t="n">
        <v>618</v>
      </c>
      <c r="F855" s="3" t="n">
        <v>3235</v>
      </c>
      <c r="G855" s="3" t="n">
        <v>9</v>
      </c>
      <c r="H855" s="3" t="n">
        <v>316860.4</v>
      </c>
      <c r="I855" s="3" t="n">
        <v>498</v>
      </c>
      <c r="J855" s="3" t="n">
        <v>259025</v>
      </c>
      <c r="K855" s="3" t="n">
        <v>54856</v>
      </c>
      <c r="L855" s="3" t="n">
        <v>0</v>
      </c>
      <c r="M855" s="4" t="n">
        <f aca="false">IFERROR(D855/C855,0)</f>
        <v>0.117245304496301</v>
      </c>
      <c r="N855" s="4" t="n">
        <f aca="false">IFERROR(E855/C855,0)</f>
        <v>0.351735913488902</v>
      </c>
      <c r="O855" s="5" t="n">
        <f aca="false">IFERROR(F855/MAX(C855-D855,1),0)</f>
        <v>2.08575112830432</v>
      </c>
      <c r="P855" s="5" t="n">
        <f aca="false">IFERROR(F855/C855,0)</f>
        <v>1.84120660216278</v>
      </c>
      <c r="Q855" s="5" t="n">
        <f aca="false">IFERROR(H855/C855,0)</f>
        <v>180.34171883893</v>
      </c>
      <c r="R855" s="4" t="n">
        <f aca="false">IFERROR(I855/F855,0)</f>
        <v>0.153941267387944</v>
      </c>
      <c r="S855" s="4" t="n">
        <f aca="false">IFERROR(K855/J855,0)</f>
        <v>0.211778785831483</v>
      </c>
      <c r="T855" s="6" t="s">
        <v>23</v>
      </c>
    </row>
    <row r="856" customFormat="false" ht="15" hidden="false" customHeight="false" outlineLevel="0" collapsed="false">
      <c r="A856" s="3" t="s">
        <v>889</v>
      </c>
      <c r="B856" s="3" t="s">
        <v>29</v>
      </c>
      <c r="C856" s="3" t="n">
        <v>3926</v>
      </c>
      <c r="D856" s="3" t="n">
        <v>234</v>
      </c>
      <c r="E856" s="3" t="n">
        <v>1305</v>
      </c>
      <c r="F856" s="3" t="n">
        <v>8665</v>
      </c>
      <c r="G856" s="3" t="n">
        <v>8</v>
      </c>
      <c r="H856" s="3" t="n">
        <v>1029452.2</v>
      </c>
      <c r="I856" s="3" t="n">
        <v>1553</v>
      </c>
      <c r="J856" s="3" t="n">
        <v>336327</v>
      </c>
      <c r="K856" s="3" t="n">
        <v>66832</v>
      </c>
      <c r="L856" s="3" t="n">
        <v>0</v>
      </c>
      <c r="M856" s="4" t="n">
        <f aca="false">IFERROR(D856/C856,0)</f>
        <v>0.0596026490066225</v>
      </c>
      <c r="N856" s="4" t="n">
        <f aca="false">IFERROR(E856/C856,0)</f>
        <v>0.332399388690779</v>
      </c>
      <c r="O856" s="5" t="n">
        <f aca="false">IFERROR(F856/MAX(C856-D856,1),0)</f>
        <v>2.34696641386782</v>
      </c>
      <c r="P856" s="5" t="n">
        <f aca="false">IFERROR(F856/C856,0)</f>
        <v>2.20708099847173</v>
      </c>
      <c r="Q856" s="5" t="n">
        <f aca="false">IFERROR(H856/C856,0)</f>
        <v>262.214009169638</v>
      </c>
      <c r="R856" s="4" t="n">
        <f aca="false">IFERROR(I856/F856,0)</f>
        <v>0.179226774379688</v>
      </c>
      <c r="S856" s="4" t="n">
        <f aca="false">IFERROR(K856/J856,0)</f>
        <v>0.198711373157671</v>
      </c>
      <c r="T856" s="6" t="s">
        <v>23</v>
      </c>
    </row>
    <row r="857" customFormat="false" ht="15" hidden="false" customHeight="false" outlineLevel="0" collapsed="false">
      <c r="A857" s="3" t="s">
        <v>890</v>
      </c>
      <c r="B857" s="3" t="s">
        <v>29</v>
      </c>
      <c r="C857" s="3" t="n">
        <v>151</v>
      </c>
      <c r="D857" s="3" t="n">
        <v>11</v>
      </c>
      <c r="E857" s="3" t="n">
        <v>60</v>
      </c>
      <c r="F857" s="3" t="n">
        <v>366</v>
      </c>
      <c r="G857" s="3" t="n">
        <v>9</v>
      </c>
      <c r="H857" s="3" t="n">
        <v>38983.4</v>
      </c>
      <c r="I857" s="3" t="n">
        <v>63</v>
      </c>
      <c r="J857" s="3" t="n">
        <v>16287</v>
      </c>
      <c r="K857" s="3" t="n">
        <v>2349</v>
      </c>
      <c r="L857" s="3" t="n">
        <v>0</v>
      </c>
      <c r="M857" s="4" t="n">
        <f aca="false">IFERROR(D857/C857,0)</f>
        <v>0.0728476821192053</v>
      </c>
      <c r="N857" s="4" t="n">
        <f aca="false">IFERROR(E857/C857,0)</f>
        <v>0.397350993377483</v>
      </c>
      <c r="O857" s="5" t="n">
        <f aca="false">IFERROR(F857/MAX(C857-D857,1),0)</f>
        <v>2.61428571428571</v>
      </c>
      <c r="P857" s="5" t="n">
        <f aca="false">IFERROR(F857/C857,0)</f>
        <v>2.42384105960265</v>
      </c>
      <c r="Q857" s="5" t="n">
        <f aca="false">IFERROR(H857/C857,0)</f>
        <v>258.16821192053</v>
      </c>
      <c r="R857" s="4" t="n">
        <f aca="false">IFERROR(I857/F857,0)</f>
        <v>0.172131147540984</v>
      </c>
      <c r="S857" s="4" t="n">
        <f aca="false">IFERROR(K857/J857,0)</f>
        <v>0.144225455885062</v>
      </c>
      <c r="T857" s="6" t="s">
        <v>23</v>
      </c>
    </row>
    <row r="858" customFormat="false" ht="15" hidden="false" customHeight="false" outlineLevel="0" collapsed="false">
      <c r="A858" s="3" t="s">
        <v>891</v>
      </c>
      <c r="B858" s="3" t="s">
        <v>29</v>
      </c>
      <c r="C858" s="3" t="n">
        <v>1467</v>
      </c>
      <c r="D858" s="3" t="n">
        <v>18</v>
      </c>
      <c r="E858" s="3" t="n">
        <v>519</v>
      </c>
      <c r="F858" s="3" t="n">
        <v>3269</v>
      </c>
      <c r="G858" s="3" t="n">
        <v>8</v>
      </c>
      <c r="H858" s="3" t="n">
        <v>377146.7</v>
      </c>
      <c r="I858" s="3" t="n">
        <v>471</v>
      </c>
      <c r="J858" s="3" t="n">
        <v>265256</v>
      </c>
      <c r="K858" s="3" t="n">
        <v>50997</v>
      </c>
      <c r="L858" s="3" t="n">
        <v>0</v>
      </c>
      <c r="M858" s="4" t="n">
        <f aca="false">IFERROR(D858/C858,0)</f>
        <v>0.0122699386503067</v>
      </c>
      <c r="N858" s="4" t="n">
        <f aca="false">IFERROR(E858/C858,0)</f>
        <v>0.353783231083845</v>
      </c>
      <c r="O858" s="5" t="n">
        <f aca="false">IFERROR(F858/MAX(C858-D858,1),0)</f>
        <v>2.256038647343</v>
      </c>
      <c r="P858" s="5" t="n">
        <f aca="false">IFERROR(F858/C858,0)</f>
        <v>2.22835719154738</v>
      </c>
      <c r="Q858" s="5" t="n">
        <f aca="false">IFERROR(H858/C858,0)</f>
        <v>257.087048398091</v>
      </c>
      <c r="R858" s="4" t="n">
        <f aca="false">IFERROR(I858/F858,0)</f>
        <v>0.144080758641787</v>
      </c>
      <c r="S858" s="4" t="n">
        <f aca="false">IFERROR(K858/J858,0)</f>
        <v>0.19225578309256</v>
      </c>
      <c r="T858" s="6" t="s">
        <v>23</v>
      </c>
    </row>
    <row r="859" customFormat="false" ht="15" hidden="false" customHeight="false" outlineLevel="0" collapsed="false">
      <c r="A859" s="3" t="s">
        <v>892</v>
      </c>
      <c r="B859" s="3" t="s">
        <v>29</v>
      </c>
      <c r="C859" s="3" t="n">
        <v>2257</v>
      </c>
      <c r="D859" s="3" t="n">
        <v>334</v>
      </c>
      <c r="E859" s="3" t="n">
        <v>861</v>
      </c>
      <c r="F859" s="3" t="n">
        <v>7411</v>
      </c>
      <c r="G859" s="3" t="n">
        <v>13</v>
      </c>
      <c r="H859" s="3" t="n">
        <v>1279216.5</v>
      </c>
      <c r="I859" s="3" t="n">
        <v>1722</v>
      </c>
      <c r="J859" s="3" t="n">
        <v>297191</v>
      </c>
      <c r="K859" s="3" t="n">
        <v>41888</v>
      </c>
      <c r="L859" s="3" t="n">
        <v>0</v>
      </c>
      <c r="M859" s="4" t="n">
        <f aca="false">IFERROR(D859/C859,0)</f>
        <v>0.147984049623394</v>
      </c>
      <c r="N859" s="4" t="n">
        <f aca="false">IFERROR(E859/C859,0)</f>
        <v>0.381479840496234</v>
      </c>
      <c r="O859" s="5" t="n">
        <f aca="false">IFERROR(F859/MAX(C859-D859,1),0)</f>
        <v>3.8538741549662</v>
      </c>
      <c r="P859" s="5" t="n">
        <f aca="false">IFERROR(F859/C859,0)</f>
        <v>3.28356225077537</v>
      </c>
      <c r="Q859" s="5" t="n">
        <f aca="false">IFERROR(H859/C859,0)</f>
        <v>566.77735932654</v>
      </c>
      <c r="R859" s="4" t="n">
        <f aca="false">IFERROR(I859/F859,0)</f>
        <v>0.232357306706247</v>
      </c>
      <c r="S859" s="4" t="n">
        <f aca="false">IFERROR(K859/J859,0)</f>
        <v>0.140946394742775</v>
      </c>
      <c r="T859" s="6" t="s">
        <v>23</v>
      </c>
    </row>
    <row r="860" customFormat="false" ht="15" hidden="false" customHeight="false" outlineLevel="0" collapsed="false">
      <c r="A860" s="3" t="s">
        <v>893</v>
      </c>
      <c r="B860" s="3" t="s">
        <v>26</v>
      </c>
      <c r="C860" s="3" t="n">
        <v>2631</v>
      </c>
      <c r="D860" s="3" t="n">
        <v>225</v>
      </c>
      <c r="E860" s="3" t="n">
        <v>651</v>
      </c>
      <c r="F860" s="3" t="n">
        <v>2575</v>
      </c>
      <c r="G860" s="3" t="n">
        <v>3</v>
      </c>
      <c r="H860" s="3" t="n">
        <v>1072176.9</v>
      </c>
      <c r="I860" s="3" t="n">
        <v>314</v>
      </c>
      <c r="J860" s="3" t="n">
        <v>252171</v>
      </c>
      <c r="K860" s="3" t="n">
        <v>38668</v>
      </c>
      <c r="L860" s="3" t="n">
        <v>364</v>
      </c>
      <c r="M860" s="4" t="n">
        <f aca="false">IFERROR(D860/C860,0)</f>
        <v>0.0855188141391106</v>
      </c>
      <c r="N860" s="4" t="n">
        <f aca="false">IFERROR(E860/C860,0)</f>
        <v>0.247434435575827</v>
      </c>
      <c r="O860" s="5" t="n">
        <f aca="false">IFERROR(F860/MAX(C860-D860,1),0)</f>
        <v>1.07024106400665</v>
      </c>
      <c r="P860" s="5" t="n">
        <f aca="false">IFERROR(F860/C860,0)</f>
        <v>0.978715317369821</v>
      </c>
      <c r="Q860" s="5" t="n">
        <f aca="false">IFERROR(H860/C860,0)</f>
        <v>407.516875712657</v>
      </c>
      <c r="R860" s="4" t="n">
        <f aca="false">IFERROR(I860/F860,0)</f>
        <v>0.121941747572816</v>
      </c>
      <c r="S860" s="4" t="n">
        <f aca="false">IFERROR(K860/J860,0)</f>
        <v>0.153340392035563</v>
      </c>
      <c r="T860" s="6" t="s">
        <v>23</v>
      </c>
    </row>
    <row r="861" customFormat="false" ht="15" hidden="false" customHeight="false" outlineLevel="0" collapsed="false">
      <c r="A861" s="3" t="s">
        <v>894</v>
      </c>
      <c r="B861" s="3" t="s">
        <v>22</v>
      </c>
      <c r="C861" s="3" t="n">
        <v>2775</v>
      </c>
      <c r="D861" s="3" t="n">
        <v>151</v>
      </c>
      <c r="E861" s="3" t="n">
        <v>665</v>
      </c>
      <c r="F861" s="3" t="n">
        <v>3781</v>
      </c>
      <c r="G861" s="3" t="n">
        <v>6</v>
      </c>
      <c r="H861" s="3" t="n">
        <v>1062281.2</v>
      </c>
      <c r="I861" s="3" t="n">
        <v>341</v>
      </c>
      <c r="J861" s="3" t="n">
        <v>341587</v>
      </c>
      <c r="K861" s="3" t="n">
        <v>57963</v>
      </c>
      <c r="L861" s="3" t="n">
        <v>552</v>
      </c>
      <c r="M861" s="4" t="n">
        <f aca="false">IFERROR(D861/C861,0)</f>
        <v>0.0544144144144144</v>
      </c>
      <c r="N861" s="4" t="n">
        <f aca="false">IFERROR(E861/C861,0)</f>
        <v>0.23963963963964</v>
      </c>
      <c r="O861" s="5" t="n">
        <f aca="false">IFERROR(F861/MAX(C861-D861,1),0)</f>
        <v>1.44092987804878</v>
      </c>
      <c r="P861" s="5" t="n">
        <f aca="false">IFERROR(F861/C861,0)</f>
        <v>1.36252252252252</v>
      </c>
      <c r="Q861" s="5" t="n">
        <f aca="false">IFERROR(H861/C861,0)</f>
        <v>382.804036036036</v>
      </c>
      <c r="R861" s="4" t="n">
        <f aca="false">IFERROR(I861/F861,0)</f>
        <v>0.0901877810103147</v>
      </c>
      <c r="S861" s="4" t="n">
        <f aca="false">IFERROR(K861/J861,0)</f>
        <v>0.169687371006508</v>
      </c>
      <c r="T861" s="6" t="s">
        <v>23</v>
      </c>
    </row>
    <row r="862" customFormat="false" ht="15" hidden="false" customHeight="false" outlineLevel="0" collapsed="false">
      <c r="A862" s="9" t="s">
        <v>895</v>
      </c>
      <c r="B862" s="9" t="s">
        <v>26</v>
      </c>
      <c r="C862" s="9" t="n">
        <v>3923</v>
      </c>
      <c r="D862" s="9" t="n">
        <v>1139</v>
      </c>
      <c r="E862" s="9" t="n">
        <v>2315</v>
      </c>
      <c r="F862" s="9" t="n">
        <v>28661</v>
      </c>
      <c r="G862" s="9" t="n">
        <v>23</v>
      </c>
      <c r="H862" s="9" t="n">
        <v>3811481.6</v>
      </c>
      <c r="I862" s="9" t="n">
        <v>14270</v>
      </c>
      <c r="J862" s="9" t="n">
        <v>401020</v>
      </c>
      <c r="K862" s="9" t="n">
        <v>320193</v>
      </c>
      <c r="L862" s="9" t="n">
        <v>1016</v>
      </c>
      <c r="M862" s="10" t="n">
        <f aca="false">IFERROR(D862/C862,0)</f>
        <v>0.290339026255417</v>
      </c>
      <c r="N862" s="10" t="n">
        <f aca="false">IFERROR(E862/C862,0)</f>
        <v>0.590109609992353</v>
      </c>
      <c r="O862" s="11" t="n">
        <f aca="false">IFERROR(F862/MAX(C862-D862,1),0)</f>
        <v>10.2948994252874</v>
      </c>
      <c r="P862" s="11" t="n">
        <f aca="false">IFERROR(F862/C862,0)</f>
        <v>7.30588835075198</v>
      </c>
      <c r="Q862" s="11" t="n">
        <f aca="false">IFERROR(H862/C862,0)</f>
        <v>971.573183787917</v>
      </c>
      <c r="R862" s="10" t="n">
        <f aca="false">IFERROR(I862/F862,0)</f>
        <v>0.497889117616273</v>
      </c>
      <c r="S862" s="10" t="n">
        <f aca="false">IFERROR(K862/J862,0)</f>
        <v>0.798446461523116</v>
      </c>
      <c r="T862" s="12" t="s">
        <v>30</v>
      </c>
    </row>
    <row r="863" customFormat="false" ht="15" hidden="false" customHeight="false" outlineLevel="0" collapsed="false">
      <c r="A863" s="9" t="s">
        <v>896</v>
      </c>
      <c r="B863" s="9" t="s">
        <v>22</v>
      </c>
      <c r="C863" s="9" t="n">
        <v>2032</v>
      </c>
      <c r="D863" s="9" t="n">
        <v>302</v>
      </c>
      <c r="E863" s="9" t="n">
        <v>640</v>
      </c>
      <c r="F863" s="9" t="n">
        <v>11434</v>
      </c>
      <c r="G863" s="9" t="n">
        <v>16</v>
      </c>
      <c r="H863" s="9" t="n">
        <v>1464188.1</v>
      </c>
      <c r="I863" s="9" t="n">
        <v>8149</v>
      </c>
      <c r="J863" s="9" t="n">
        <v>307523</v>
      </c>
      <c r="K863" s="9" t="n">
        <v>210433</v>
      </c>
      <c r="L863" s="9" t="n">
        <v>283</v>
      </c>
      <c r="M863" s="10" t="n">
        <f aca="false">IFERROR(D863/C863,0)</f>
        <v>0.148622047244095</v>
      </c>
      <c r="N863" s="10" t="n">
        <f aca="false">IFERROR(E863/C863,0)</f>
        <v>0.31496062992126</v>
      </c>
      <c r="O863" s="11" t="n">
        <f aca="false">IFERROR(F863/MAX(C863-D863,1),0)</f>
        <v>6.6092485549133</v>
      </c>
      <c r="P863" s="11" t="n">
        <f aca="false">IFERROR(F863/C863,0)</f>
        <v>5.62696850393701</v>
      </c>
      <c r="Q863" s="11" t="n">
        <f aca="false">IFERROR(H863/C863,0)</f>
        <v>720.56500984252</v>
      </c>
      <c r="R863" s="10" t="n">
        <f aca="false">IFERROR(I863/F863,0)</f>
        <v>0.712698967990205</v>
      </c>
      <c r="S863" s="10" t="n">
        <f aca="false">IFERROR(K863/J863,0)</f>
        <v>0.684283777148376</v>
      </c>
      <c r="T863" s="12" t="s">
        <v>30</v>
      </c>
    </row>
    <row r="864" customFormat="false" ht="15" hidden="false" customHeight="false" outlineLevel="0" collapsed="false">
      <c r="A864" s="9" t="s">
        <v>897</v>
      </c>
      <c r="B864" s="9" t="s">
        <v>22</v>
      </c>
      <c r="C864" s="9" t="n">
        <v>998</v>
      </c>
      <c r="D864" s="9" t="n">
        <v>240</v>
      </c>
      <c r="E864" s="9" t="n">
        <v>410</v>
      </c>
      <c r="F864" s="9" t="n">
        <v>6047</v>
      </c>
      <c r="G864" s="9" t="n">
        <v>10</v>
      </c>
      <c r="H864" s="9" t="n">
        <v>780297.1</v>
      </c>
      <c r="I864" s="9" t="n">
        <v>2630</v>
      </c>
      <c r="J864" s="9" t="n">
        <v>184304</v>
      </c>
      <c r="K864" s="9" t="n">
        <v>130913</v>
      </c>
      <c r="L864" s="9" t="n">
        <v>420</v>
      </c>
      <c r="M864" s="10" t="n">
        <f aca="false">IFERROR(D864/C864,0)</f>
        <v>0.240480961923848</v>
      </c>
      <c r="N864" s="10" t="n">
        <f aca="false">IFERROR(E864/C864,0)</f>
        <v>0.410821643286573</v>
      </c>
      <c r="O864" s="11" t="n">
        <f aca="false">IFERROR(F864/MAX(C864-D864,1),0)</f>
        <v>7.97757255936676</v>
      </c>
      <c r="P864" s="11" t="n">
        <f aca="false">IFERROR(F864/C864,0)</f>
        <v>6.05911823647295</v>
      </c>
      <c r="Q864" s="11" t="n">
        <f aca="false">IFERROR(H864/C864,0)</f>
        <v>781.860821643287</v>
      </c>
      <c r="R864" s="10" t="n">
        <f aca="false">IFERROR(I864/F864,0)</f>
        <v>0.434926409789979</v>
      </c>
      <c r="S864" s="10" t="n">
        <f aca="false">IFERROR(K864/J864,0)</f>
        <v>0.710310139769077</v>
      </c>
      <c r="T864" s="12" t="s">
        <v>30</v>
      </c>
    </row>
    <row r="865" customFormat="false" ht="15" hidden="false" customHeight="false" outlineLevel="0" collapsed="false">
      <c r="A865" s="3" t="s">
        <v>898</v>
      </c>
      <c r="B865" s="3" t="s">
        <v>22</v>
      </c>
      <c r="C865" s="3" t="n">
        <v>2201</v>
      </c>
      <c r="D865" s="3" t="n">
        <v>332</v>
      </c>
      <c r="E865" s="3" t="n">
        <v>1029</v>
      </c>
      <c r="F865" s="3" t="n">
        <v>8282</v>
      </c>
      <c r="G865" s="3" t="n">
        <v>16</v>
      </c>
      <c r="H865" s="3" t="n">
        <v>1373009.1</v>
      </c>
      <c r="I865" s="3" t="n">
        <v>1815</v>
      </c>
      <c r="J865" s="3" t="n">
        <v>297368</v>
      </c>
      <c r="K865" s="3" t="n">
        <v>57355</v>
      </c>
      <c r="L865" s="3" t="n">
        <v>1125</v>
      </c>
      <c r="M865" s="4" t="n">
        <f aca="false">IFERROR(D865/C865,0)</f>
        <v>0.150840527033167</v>
      </c>
      <c r="N865" s="4" t="n">
        <f aca="false">IFERROR(E865/C865,0)</f>
        <v>0.467514766015448</v>
      </c>
      <c r="O865" s="5" t="n">
        <f aca="false">IFERROR(F865/MAX(C865-D865,1),0)</f>
        <v>4.43124665596576</v>
      </c>
      <c r="P865" s="5" t="n">
        <f aca="false">IFERROR(F865/C865,0)</f>
        <v>3.76283507496592</v>
      </c>
      <c r="Q865" s="5" t="n">
        <f aca="false">IFERROR(H865/C865,0)</f>
        <v>623.811494775102</v>
      </c>
      <c r="R865" s="4" t="n">
        <f aca="false">IFERROR(I865/F865,0)</f>
        <v>0.219149963776866</v>
      </c>
      <c r="S865" s="4" t="n">
        <f aca="false">IFERROR(K865/J865,0)</f>
        <v>0.192875494336983</v>
      </c>
      <c r="T865" s="6" t="s">
        <v>23</v>
      </c>
    </row>
    <row r="866" customFormat="false" ht="15" hidden="false" customHeight="false" outlineLevel="0" collapsed="false">
      <c r="A866" s="3" t="s">
        <v>899</v>
      </c>
      <c r="B866" s="3" t="s">
        <v>26</v>
      </c>
      <c r="C866" s="3" t="n">
        <v>3182</v>
      </c>
      <c r="D866" s="3" t="n">
        <v>356</v>
      </c>
      <c r="E866" s="3" t="n">
        <v>1364</v>
      </c>
      <c r="F866" s="3" t="n">
        <v>10460</v>
      </c>
      <c r="G866" s="3" t="n">
        <v>16</v>
      </c>
      <c r="H866" s="3" t="n">
        <v>1677191.3</v>
      </c>
      <c r="I866" s="3" t="n">
        <v>2203</v>
      </c>
      <c r="J866" s="3" t="n">
        <v>299502</v>
      </c>
      <c r="K866" s="3" t="n">
        <v>79321</v>
      </c>
      <c r="L866" s="3" t="n">
        <v>462</v>
      </c>
      <c r="M866" s="4" t="n">
        <f aca="false">IFERROR(D866/C866,0)</f>
        <v>0.111879321181647</v>
      </c>
      <c r="N866" s="4" t="n">
        <f aca="false">IFERROR(E866/C866,0)</f>
        <v>0.428661219358894</v>
      </c>
      <c r="O866" s="5" t="n">
        <f aca="false">IFERROR(F866/MAX(C866-D866,1),0)</f>
        <v>3.70134465675867</v>
      </c>
      <c r="P866" s="5" t="n">
        <f aca="false">IFERROR(F866/C866,0)</f>
        <v>3.28724072910119</v>
      </c>
      <c r="Q866" s="5" t="n">
        <f aca="false">IFERROR(H866/C866,0)</f>
        <v>527.087146448774</v>
      </c>
      <c r="R866" s="4" t="n">
        <f aca="false">IFERROR(I866/F866,0)</f>
        <v>0.210611854684512</v>
      </c>
      <c r="S866" s="4" t="n">
        <f aca="false">IFERROR(K866/J866,0)</f>
        <v>0.264842972667962</v>
      </c>
      <c r="T866" s="6" t="s">
        <v>23</v>
      </c>
    </row>
    <row r="867" customFormat="false" ht="15" hidden="false" customHeight="false" outlineLevel="0" collapsed="false">
      <c r="A867" s="3" t="s">
        <v>900</v>
      </c>
      <c r="B867" s="3" t="s">
        <v>22</v>
      </c>
      <c r="C867" s="3" t="n">
        <v>2027</v>
      </c>
      <c r="D867" s="3" t="n">
        <v>176</v>
      </c>
      <c r="E867" s="3" t="n">
        <v>711</v>
      </c>
      <c r="F867" s="3" t="n">
        <v>6376</v>
      </c>
      <c r="G867" s="3" t="n">
        <v>13</v>
      </c>
      <c r="H867" s="3" t="n">
        <v>1040388.1</v>
      </c>
      <c r="I867" s="3" t="n">
        <v>1116</v>
      </c>
      <c r="J867" s="3" t="n">
        <v>255462</v>
      </c>
      <c r="K867" s="3" t="n">
        <v>37190</v>
      </c>
      <c r="L867" s="3" t="n">
        <v>349</v>
      </c>
      <c r="M867" s="4" t="n">
        <f aca="false">IFERROR(D867/C867,0)</f>
        <v>0.0868278243709916</v>
      </c>
      <c r="N867" s="4" t="n">
        <f aca="false">IFERROR(E867/C867,0)</f>
        <v>0.350764676862358</v>
      </c>
      <c r="O867" s="5" t="n">
        <f aca="false">IFERROR(F867/MAX(C867-D867,1),0)</f>
        <v>3.44462452728255</v>
      </c>
      <c r="P867" s="5" t="n">
        <f aca="false">IFERROR(F867/C867,0)</f>
        <v>3.14553527380365</v>
      </c>
      <c r="Q867" s="5" t="n">
        <f aca="false">IFERROR(H867/C867,0)</f>
        <v>513.264972866305</v>
      </c>
      <c r="R867" s="4" t="n">
        <f aca="false">IFERROR(I867/F867,0)</f>
        <v>0.175031367628607</v>
      </c>
      <c r="S867" s="4" t="n">
        <f aca="false">IFERROR(K867/J867,0)</f>
        <v>0.145579381669289</v>
      </c>
      <c r="T867" s="6" t="s">
        <v>23</v>
      </c>
    </row>
    <row r="868" customFormat="false" ht="15" hidden="false" customHeight="false" outlineLevel="0" collapsed="false">
      <c r="A868" s="3" t="s">
        <v>901</v>
      </c>
      <c r="B868" s="3" t="s">
        <v>22</v>
      </c>
      <c r="C868" s="3" t="n">
        <v>787</v>
      </c>
      <c r="D868" s="3" t="n">
        <v>119</v>
      </c>
      <c r="E868" s="3" t="n">
        <v>376</v>
      </c>
      <c r="F868" s="3" t="n">
        <v>2843</v>
      </c>
      <c r="G868" s="3" t="n">
        <v>15</v>
      </c>
      <c r="H868" s="3" t="n">
        <v>559967.7</v>
      </c>
      <c r="I868" s="3" t="n">
        <v>606</v>
      </c>
      <c r="J868" s="3" t="n">
        <v>140381</v>
      </c>
      <c r="K868" s="3" t="n">
        <v>31869</v>
      </c>
      <c r="L868" s="3" t="n">
        <v>139</v>
      </c>
      <c r="M868" s="4" t="n">
        <f aca="false">IFERROR(D868/C868,0)</f>
        <v>0.151207115628971</v>
      </c>
      <c r="N868" s="4" t="n">
        <f aca="false">IFERROR(E868/C868,0)</f>
        <v>0.477763659466328</v>
      </c>
      <c r="O868" s="5" t="n">
        <f aca="false">IFERROR(F868/MAX(C868-D868,1),0)</f>
        <v>4.2559880239521</v>
      </c>
      <c r="P868" s="5" t="n">
        <f aca="false">IFERROR(F868/C868,0)</f>
        <v>3.61245235069886</v>
      </c>
      <c r="Q868" s="5" t="n">
        <f aca="false">IFERROR(H868/C868,0)</f>
        <v>711.521855146125</v>
      </c>
      <c r="R868" s="4" t="n">
        <f aca="false">IFERROR(I868/F868,0)</f>
        <v>0.213155117833275</v>
      </c>
      <c r="S868" s="4" t="n">
        <f aca="false">IFERROR(K868/J868,0)</f>
        <v>0.227017901282937</v>
      </c>
      <c r="T868" s="6" t="s">
        <v>23</v>
      </c>
    </row>
    <row r="869" customFormat="false" ht="15" hidden="false" customHeight="false" outlineLevel="0" collapsed="false">
      <c r="A869" s="9" t="s">
        <v>902</v>
      </c>
      <c r="B869" s="9" t="s">
        <v>26</v>
      </c>
      <c r="C869" s="9" t="n">
        <v>3732</v>
      </c>
      <c r="D869" s="9" t="n">
        <v>1007</v>
      </c>
      <c r="E869" s="9" t="n">
        <v>2209</v>
      </c>
      <c r="F869" s="9" t="n">
        <v>25811</v>
      </c>
      <c r="G869" s="9" t="n">
        <v>22</v>
      </c>
      <c r="H869" s="9" t="n">
        <v>2234498.9</v>
      </c>
      <c r="I869" s="9" t="n">
        <v>12207</v>
      </c>
      <c r="J869" s="9" t="n">
        <v>391384</v>
      </c>
      <c r="K869" s="9" t="n">
        <v>274828</v>
      </c>
      <c r="L869" s="9" t="n">
        <v>783</v>
      </c>
      <c r="M869" s="10" t="n">
        <f aca="false">IFERROR(D869/C869,0)</f>
        <v>0.269828510182208</v>
      </c>
      <c r="N869" s="10" t="n">
        <f aca="false">IFERROR(E869/C869,0)</f>
        <v>0.591907824222937</v>
      </c>
      <c r="O869" s="11" t="n">
        <f aca="false">IFERROR(F869/MAX(C869-D869,1),0)</f>
        <v>9.47192660550459</v>
      </c>
      <c r="P869" s="11" t="n">
        <f aca="false">IFERROR(F869/C869,0)</f>
        <v>6.91613076098607</v>
      </c>
      <c r="Q869" s="11" t="n">
        <f aca="false">IFERROR(H869/C869,0)</f>
        <v>598.740326902465</v>
      </c>
      <c r="R869" s="10" t="n">
        <f aca="false">IFERROR(I869/F869,0)</f>
        <v>0.47293789469606</v>
      </c>
      <c r="S869" s="10" t="n">
        <f aca="false">IFERROR(K869/J869,0)</f>
        <v>0.702195286470576</v>
      </c>
      <c r="T869" s="12" t="s">
        <v>30</v>
      </c>
    </row>
    <row r="870" customFormat="false" ht="15" hidden="false" customHeight="false" outlineLevel="0" collapsed="false">
      <c r="A870" s="3" t="s">
        <v>903</v>
      </c>
      <c r="B870" s="3" t="s">
        <v>22</v>
      </c>
      <c r="C870" s="3" t="n">
        <v>303</v>
      </c>
      <c r="D870" s="3" t="n">
        <v>8</v>
      </c>
      <c r="E870" s="3" t="n">
        <v>88</v>
      </c>
      <c r="F870" s="3" t="n">
        <v>502</v>
      </c>
      <c r="G870" s="3" t="n">
        <v>8</v>
      </c>
      <c r="H870" s="3" t="n">
        <v>102961.4</v>
      </c>
      <c r="I870" s="3" t="n">
        <v>88</v>
      </c>
      <c r="J870" s="3" t="n">
        <v>53927</v>
      </c>
      <c r="K870" s="3" t="n">
        <v>7000</v>
      </c>
      <c r="L870" s="3" t="n">
        <v>62</v>
      </c>
      <c r="M870" s="4" t="n">
        <f aca="false">IFERROR(D870/C870,0)</f>
        <v>0.0264026402640264</v>
      </c>
      <c r="N870" s="4" t="n">
        <f aca="false">IFERROR(E870/C870,0)</f>
        <v>0.29042904290429</v>
      </c>
      <c r="O870" s="5" t="n">
        <f aca="false">IFERROR(F870/MAX(C870-D870,1),0)</f>
        <v>1.70169491525424</v>
      </c>
      <c r="P870" s="5" t="n">
        <f aca="false">IFERROR(F870/C870,0)</f>
        <v>1.65676567656766</v>
      </c>
      <c r="Q870" s="5" t="n">
        <f aca="false">IFERROR(H870/C870,0)</f>
        <v>339.806600660066</v>
      </c>
      <c r="R870" s="4" t="n">
        <f aca="false">IFERROR(I870/F870,0)</f>
        <v>0.175298804780877</v>
      </c>
      <c r="S870" s="4" t="n">
        <f aca="false">IFERROR(K870/J870,0)</f>
        <v>0.129805106903777</v>
      </c>
      <c r="T870" s="6" t="s">
        <v>23</v>
      </c>
    </row>
    <row r="871" customFormat="false" ht="15" hidden="false" customHeight="false" outlineLevel="0" collapsed="false">
      <c r="A871" s="3" t="s">
        <v>904</v>
      </c>
      <c r="B871" s="3" t="s">
        <v>22</v>
      </c>
      <c r="C871" s="3" t="n">
        <v>3859</v>
      </c>
      <c r="D871" s="3" t="n">
        <v>282</v>
      </c>
      <c r="E871" s="3" t="n">
        <v>1449</v>
      </c>
      <c r="F871" s="3" t="n">
        <v>8617</v>
      </c>
      <c r="G871" s="3" t="n">
        <v>6</v>
      </c>
      <c r="H871" s="3" t="n">
        <v>1641770</v>
      </c>
      <c r="I871" s="3" t="n">
        <v>1122</v>
      </c>
      <c r="J871" s="3" t="n">
        <v>272628</v>
      </c>
      <c r="K871" s="3" t="n">
        <v>21439</v>
      </c>
      <c r="L871" s="3" t="n">
        <v>985</v>
      </c>
      <c r="M871" s="4" t="n">
        <f aca="false">IFERROR(D871/C871,0)</f>
        <v>0.0730759264058046</v>
      </c>
      <c r="N871" s="4" t="n">
        <f aca="false">IFERROR(E871/C871,0)</f>
        <v>0.375485877170251</v>
      </c>
      <c r="O871" s="5" t="n">
        <f aca="false">IFERROR(F871/MAX(C871-D871,1),0)</f>
        <v>2.40900195694716</v>
      </c>
      <c r="P871" s="5" t="n">
        <f aca="false">IFERROR(F871/C871,0)</f>
        <v>2.23296190722985</v>
      </c>
      <c r="Q871" s="5" t="n">
        <f aca="false">IFERROR(H871/C871,0)</f>
        <v>425.439232961907</v>
      </c>
      <c r="R871" s="4" t="n">
        <f aca="false">IFERROR(I871/F871,0)</f>
        <v>0.130207728907973</v>
      </c>
      <c r="S871" s="4" t="n">
        <f aca="false">IFERROR(K871/J871,0)</f>
        <v>0.0786382910045923</v>
      </c>
      <c r="T871" s="6" t="s">
        <v>23</v>
      </c>
    </row>
    <row r="872" customFormat="false" ht="15" hidden="false" customHeight="false" outlineLevel="0" collapsed="false">
      <c r="A872" s="3" t="s">
        <v>905</v>
      </c>
      <c r="B872" s="3" t="s">
        <v>26</v>
      </c>
      <c r="C872" s="3" t="n">
        <v>1352</v>
      </c>
      <c r="D872" s="3" t="n">
        <v>76</v>
      </c>
      <c r="E872" s="3" t="n">
        <v>285</v>
      </c>
      <c r="F872" s="3" t="n">
        <v>1539</v>
      </c>
      <c r="G872" s="3" t="n">
        <v>2</v>
      </c>
      <c r="H872" s="3" t="n">
        <v>755360.7</v>
      </c>
      <c r="I872" s="3" t="n">
        <v>231</v>
      </c>
      <c r="J872" s="3" t="n">
        <v>214130</v>
      </c>
      <c r="K872" s="3" t="n">
        <v>31328</v>
      </c>
      <c r="L872" s="3" t="n">
        <v>451</v>
      </c>
      <c r="M872" s="4" t="n">
        <f aca="false">IFERROR(D872/C872,0)</f>
        <v>0.0562130177514793</v>
      </c>
      <c r="N872" s="4" t="n">
        <f aca="false">IFERROR(E872/C872,0)</f>
        <v>0.210798816568047</v>
      </c>
      <c r="O872" s="5" t="n">
        <f aca="false">IFERROR(F872/MAX(C872-D872,1),0)</f>
        <v>1.20611285266458</v>
      </c>
      <c r="P872" s="5" t="n">
        <f aca="false">IFERROR(F872/C872,0)</f>
        <v>1.13831360946746</v>
      </c>
      <c r="Q872" s="5" t="n">
        <f aca="false">IFERROR(H872/C872,0)</f>
        <v>558.69874260355</v>
      </c>
      <c r="R872" s="4" t="n">
        <f aca="false">IFERROR(I872/F872,0)</f>
        <v>0.15009746588694</v>
      </c>
      <c r="S872" s="4" t="n">
        <f aca="false">IFERROR(K872/J872,0)</f>
        <v>0.14630364731705</v>
      </c>
      <c r="T872" s="6" t="s">
        <v>23</v>
      </c>
    </row>
    <row r="873" customFormat="false" ht="15" hidden="false" customHeight="false" outlineLevel="0" collapsed="false">
      <c r="A873" s="3" t="s">
        <v>906</v>
      </c>
      <c r="B873" s="3" t="s">
        <v>26</v>
      </c>
      <c r="C873" s="3" t="n">
        <v>1167</v>
      </c>
      <c r="D873" s="3" t="n">
        <v>152</v>
      </c>
      <c r="E873" s="3" t="n">
        <v>428</v>
      </c>
      <c r="F873" s="3" t="n">
        <v>3457</v>
      </c>
      <c r="G873" s="3" t="n">
        <v>14</v>
      </c>
      <c r="H873" s="3" t="n">
        <v>450601</v>
      </c>
      <c r="I873" s="3" t="n">
        <v>522</v>
      </c>
      <c r="J873" s="3" t="n">
        <v>202701</v>
      </c>
      <c r="K873" s="3" t="n">
        <v>39748</v>
      </c>
      <c r="L873" s="3" t="n">
        <v>342</v>
      </c>
      <c r="M873" s="4" t="n">
        <f aca="false">IFERROR(D873/C873,0)</f>
        <v>0.130248500428449</v>
      </c>
      <c r="N873" s="4" t="n">
        <f aca="false">IFERROR(E873/C873,0)</f>
        <v>0.36675235646958</v>
      </c>
      <c r="O873" s="5" t="n">
        <f aca="false">IFERROR(F873/MAX(C873-D873,1),0)</f>
        <v>3.40591133004926</v>
      </c>
      <c r="P873" s="5" t="n">
        <f aca="false">IFERROR(F873/C873,0)</f>
        <v>2.96229648671808</v>
      </c>
      <c r="Q873" s="5" t="n">
        <f aca="false">IFERROR(H873/C873,0)</f>
        <v>386.11910882605</v>
      </c>
      <c r="R873" s="4" t="n">
        <f aca="false">IFERROR(I873/F873,0)</f>
        <v>0.150997975122939</v>
      </c>
      <c r="S873" s="4" t="n">
        <f aca="false">IFERROR(K873/J873,0)</f>
        <v>0.19609178050429</v>
      </c>
      <c r="T873" s="6" t="s">
        <v>23</v>
      </c>
    </row>
    <row r="874" customFormat="false" ht="15" hidden="false" customHeight="false" outlineLevel="0" collapsed="false">
      <c r="A874" s="3" t="s">
        <v>907</v>
      </c>
      <c r="B874" s="3" t="s">
        <v>29</v>
      </c>
      <c r="C874" s="3" t="n">
        <v>1665</v>
      </c>
      <c r="D874" s="3" t="n">
        <v>221</v>
      </c>
      <c r="E874" s="3" t="n">
        <v>614</v>
      </c>
      <c r="F874" s="3" t="n">
        <v>4470</v>
      </c>
      <c r="G874" s="3" t="n">
        <v>14</v>
      </c>
      <c r="H874" s="3" t="n">
        <v>730024</v>
      </c>
      <c r="I874" s="3" t="n">
        <v>412</v>
      </c>
      <c r="J874" s="3" t="n">
        <v>294347</v>
      </c>
      <c r="K874" s="3" t="n">
        <v>83758</v>
      </c>
      <c r="L874" s="3" t="n">
        <v>0</v>
      </c>
      <c r="M874" s="4" t="n">
        <f aca="false">IFERROR(D874/C874,0)</f>
        <v>0.132732732732733</v>
      </c>
      <c r="N874" s="4" t="n">
        <f aca="false">IFERROR(E874/C874,0)</f>
        <v>0.368768768768769</v>
      </c>
      <c r="O874" s="5" t="n">
        <f aca="false">IFERROR(F874/MAX(C874-D874,1),0)</f>
        <v>3.09556786703601</v>
      </c>
      <c r="P874" s="5" t="n">
        <f aca="false">IFERROR(F874/C874,0)</f>
        <v>2.68468468468469</v>
      </c>
      <c r="Q874" s="5" t="n">
        <f aca="false">IFERROR(H874/C874,0)</f>
        <v>438.452852852853</v>
      </c>
      <c r="R874" s="4" t="n">
        <f aca="false">IFERROR(I874/F874,0)</f>
        <v>0.0921700223713647</v>
      </c>
      <c r="S874" s="4" t="n">
        <f aca="false">IFERROR(K874/J874,0)</f>
        <v>0.284555303774117</v>
      </c>
      <c r="T874" s="6" t="s">
        <v>23</v>
      </c>
    </row>
    <row r="875" customFormat="false" ht="15" hidden="false" customHeight="false" outlineLevel="0" collapsed="false">
      <c r="A875" s="3" t="s">
        <v>908</v>
      </c>
      <c r="B875" s="3" t="s">
        <v>29</v>
      </c>
      <c r="C875" s="3" t="n">
        <v>3017</v>
      </c>
      <c r="D875" s="3" t="n">
        <v>419</v>
      </c>
      <c r="E875" s="3" t="n">
        <v>1094</v>
      </c>
      <c r="F875" s="3" t="n">
        <v>12215</v>
      </c>
      <c r="G875" s="3" t="n">
        <v>16</v>
      </c>
      <c r="H875" s="3" t="n">
        <v>1938598.1</v>
      </c>
      <c r="I875" s="3" t="n">
        <v>2408</v>
      </c>
      <c r="J875" s="3" t="n">
        <v>510965</v>
      </c>
      <c r="K875" s="3" t="n">
        <v>122219</v>
      </c>
      <c r="L875" s="3" t="n">
        <v>0</v>
      </c>
      <c r="M875" s="4" t="n">
        <f aca="false">IFERROR(D875/C875,0)</f>
        <v>0.138879681803116</v>
      </c>
      <c r="N875" s="4" t="n">
        <f aca="false">IFERROR(E875/C875,0)</f>
        <v>0.362611866092145</v>
      </c>
      <c r="O875" s="5" t="n">
        <f aca="false">IFERROR(F875/MAX(C875-D875,1),0)</f>
        <v>4.70169361046959</v>
      </c>
      <c r="P875" s="5" t="n">
        <f aca="false">IFERROR(F875/C875,0)</f>
        <v>4.04872389791183</v>
      </c>
      <c r="Q875" s="5" t="n">
        <f aca="false">IFERROR(H875/C875,0)</f>
        <v>642.558203513424</v>
      </c>
      <c r="R875" s="4" t="n">
        <f aca="false">IFERROR(I875/F875,0)</f>
        <v>0.197134670487106</v>
      </c>
      <c r="S875" s="4" t="n">
        <f aca="false">IFERROR(K875/J875,0)</f>
        <v>0.239192508293132</v>
      </c>
      <c r="T875" s="6" t="s">
        <v>23</v>
      </c>
    </row>
    <row r="876" customFormat="false" ht="15" hidden="false" customHeight="false" outlineLevel="0" collapsed="false">
      <c r="A876" s="3" t="s">
        <v>909</v>
      </c>
      <c r="B876" s="3" t="s">
        <v>26</v>
      </c>
      <c r="C876" s="3" t="n">
        <v>3065</v>
      </c>
      <c r="D876" s="3" t="n">
        <v>393</v>
      </c>
      <c r="E876" s="3" t="n">
        <v>1235</v>
      </c>
      <c r="F876" s="3" t="n">
        <v>9866</v>
      </c>
      <c r="G876" s="3" t="n">
        <v>13</v>
      </c>
      <c r="H876" s="3" t="n">
        <v>1984264.9</v>
      </c>
      <c r="I876" s="3" t="n">
        <v>1428</v>
      </c>
      <c r="J876" s="3" t="n">
        <v>264049</v>
      </c>
      <c r="K876" s="3" t="n">
        <v>48583</v>
      </c>
      <c r="L876" s="3" t="n">
        <v>1237</v>
      </c>
      <c r="M876" s="4" t="n">
        <f aca="false">IFERROR(D876/C876,0)</f>
        <v>0.128221859706362</v>
      </c>
      <c r="N876" s="4" t="n">
        <f aca="false">IFERROR(E876/C876,0)</f>
        <v>0.402936378466558</v>
      </c>
      <c r="O876" s="5" t="n">
        <f aca="false">IFERROR(F876/MAX(C876-D876,1),0)</f>
        <v>3.69236526946108</v>
      </c>
      <c r="P876" s="5" t="n">
        <f aca="false">IFERROR(F876/C876,0)</f>
        <v>3.2189233278956</v>
      </c>
      <c r="Q876" s="5" t="n">
        <f aca="false">IFERROR(H876/C876,0)</f>
        <v>647.394747145188</v>
      </c>
      <c r="R876" s="4" t="n">
        <f aca="false">IFERROR(I876/F876,0)</f>
        <v>0.144739509426313</v>
      </c>
      <c r="S876" s="4" t="n">
        <f aca="false">IFERROR(K876/J876,0)</f>
        <v>0.183992365053456</v>
      </c>
      <c r="T876" s="6" t="s">
        <v>23</v>
      </c>
    </row>
    <row r="877" customFormat="false" ht="15" hidden="false" customHeight="false" outlineLevel="0" collapsed="false">
      <c r="A877" s="3" t="s">
        <v>910</v>
      </c>
      <c r="B877" s="3" t="s">
        <v>29</v>
      </c>
      <c r="C877" s="3" t="n">
        <v>952</v>
      </c>
      <c r="D877" s="3" t="n">
        <v>60</v>
      </c>
      <c r="E877" s="3" t="n">
        <v>364</v>
      </c>
      <c r="F877" s="3" t="n">
        <v>2804</v>
      </c>
      <c r="G877" s="3" t="n">
        <v>12</v>
      </c>
      <c r="H877" s="3" t="n">
        <v>253580</v>
      </c>
      <c r="I877" s="3" t="n">
        <v>521</v>
      </c>
      <c r="J877" s="3" t="n">
        <v>108249</v>
      </c>
      <c r="K877" s="3" t="n">
        <v>19495</v>
      </c>
      <c r="L877" s="3" t="n">
        <v>0</v>
      </c>
      <c r="M877" s="4" t="n">
        <f aca="false">IFERROR(D877/C877,0)</f>
        <v>0.0630252100840336</v>
      </c>
      <c r="N877" s="4" t="n">
        <f aca="false">IFERROR(E877/C877,0)</f>
        <v>0.382352941176471</v>
      </c>
      <c r="O877" s="5" t="n">
        <f aca="false">IFERROR(F877/MAX(C877-D877,1),0)</f>
        <v>3.14349775784753</v>
      </c>
      <c r="P877" s="5" t="n">
        <f aca="false">IFERROR(F877/C877,0)</f>
        <v>2.9453781512605</v>
      </c>
      <c r="Q877" s="5" t="n">
        <f aca="false">IFERROR(H877/C877,0)</f>
        <v>266.365546218487</v>
      </c>
      <c r="R877" s="4" t="n">
        <f aca="false">IFERROR(I877/F877,0)</f>
        <v>0.185805991440799</v>
      </c>
      <c r="S877" s="4" t="n">
        <f aca="false">IFERROR(K877/J877,0)</f>
        <v>0.180094042439191</v>
      </c>
      <c r="T877" s="6" t="s">
        <v>23</v>
      </c>
    </row>
    <row r="878" customFormat="false" ht="15" hidden="false" customHeight="false" outlineLevel="0" collapsed="false">
      <c r="A878" s="3" t="s">
        <v>911</v>
      </c>
      <c r="B878" s="3" t="s">
        <v>26</v>
      </c>
      <c r="C878" s="3" t="n">
        <v>3306</v>
      </c>
      <c r="D878" s="3" t="n">
        <v>415</v>
      </c>
      <c r="E878" s="3" t="n">
        <v>1323</v>
      </c>
      <c r="F878" s="3" t="n">
        <v>9310</v>
      </c>
      <c r="G878" s="3" t="n">
        <v>12</v>
      </c>
      <c r="H878" s="3" t="n">
        <v>2116728.8</v>
      </c>
      <c r="I878" s="3" t="n">
        <v>2045</v>
      </c>
      <c r="J878" s="3" t="n">
        <v>603314</v>
      </c>
      <c r="K878" s="3" t="n">
        <v>141063</v>
      </c>
      <c r="L878" s="3" t="n">
        <v>671</v>
      </c>
      <c r="M878" s="4" t="n">
        <f aca="false">IFERROR(D878/C878,0)</f>
        <v>0.125529340592861</v>
      </c>
      <c r="N878" s="4" t="n">
        <f aca="false">IFERROR(E878/C878,0)</f>
        <v>0.400181488203267</v>
      </c>
      <c r="O878" s="5" t="n">
        <f aca="false">IFERROR(F878/MAX(C878-D878,1),0)</f>
        <v>3.22033898305085</v>
      </c>
      <c r="P878" s="5" t="n">
        <f aca="false">IFERROR(F878/C878,0)</f>
        <v>2.81609195402299</v>
      </c>
      <c r="Q878" s="5" t="n">
        <f aca="false">IFERROR(H878/C878,0)</f>
        <v>640.268844525106</v>
      </c>
      <c r="R878" s="4" t="n">
        <f aca="false">IFERROR(I878/F878,0)</f>
        <v>0.219656283566058</v>
      </c>
      <c r="S878" s="4" t="n">
        <f aca="false">IFERROR(K878/J878,0)</f>
        <v>0.233813569716599</v>
      </c>
      <c r="T878" s="6" t="s">
        <v>23</v>
      </c>
    </row>
    <row r="879" customFormat="false" ht="15" hidden="false" customHeight="false" outlineLevel="0" collapsed="false">
      <c r="A879" s="3" t="s">
        <v>912</v>
      </c>
      <c r="B879" s="3" t="s">
        <v>26</v>
      </c>
      <c r="C879" s="3" t="n">
        <v>1039</v>
      </c>
      <c r="D879" s="3" t="n">
        <v>101</v>
      </c>
      <c r="E879" s="3" t="n">
        <v>406</v>
      </c>
      <c r="F879" s="3" t="n">
        <v>2946</v>
      </c>
      <c r="G879" s="3" t="n">
        <v>10</v>
      </c>
      <c r="H879" s="3" t="n">
        <v>432078.2</v>
      </c>
      <c r="I879" s="3" t="n">
        <v>521</v>
      </c>
      <c r="J879" s="3" t="n">
        <v>78785</v>
      </c>
      <c r="K879" s="3" t="n">
        <v>7540</v>
      </c>
      <c r="L879" s="3" t="n">
        <v>152</v>
      </c>
      <c r="M879" s="4" t="n">
        <f aca="false">IFERROR(D879/C879,0)</f>
        <v>0.09720885466795</v>
      </c>
      <c r="N879" s="4" t="n">
        <f aca="false">IFERROR(E879/C879,0)</f>
        <v>0.390760346487007</v>
      </c>
      <c r="O879" s="5" t="n">
        <f aca="false">IFERROR(F879/MAX(C879-D879,1),0)</f>
        <v>3.1407249466951</v>
      </c>
      <c r="P879" s="5" t="n">
        <f aca="false">IFERROR(F879/C879,0)</f>
        <v>2.83541867179981</v>
      </c>
      <c r="Q879" s="5" t="n">
        <f aca="false">IFERROR(H879/C879,0)</f>
        <v>415.859672762271</v>
      </c>
      <c r="R879" s="4" t="n">
        <f aca="false">IFERROR(I879/F879,0)</f>
        <v>0.176849966055669</v>
      </c>
      <c r="S879" s="4" t="n">
        <f aca="false">IFERROR(K879/J879,0)</f>
        <v>0.0957034968585391</v>
      </c>
      <c r="T879" s="6" t="s">
        <v>23</v>
      </c>
    </row>
    <row r="880" customFormat="false" ht="15" hidden="false" customHeight="false" outlineLevel="0" collapsed="false">
      <c r="A880" s="3" t="s">
        <v>913</v>
      </c>
      <c r="B880" s="3" t="s">
        <v>22</v>
      </c>
      <c r="C880" s="3" t="n">
        <v>1380</v>
      </c>
      <c r="D880" s="3" t="n">
        <v>194</v>
      </c>
      <c r="E880" s="3" t="n">
        <v>594</v>
      </c>
      <c r="F880" s="3" t="n">
        <v>3255</v>
      </c>
      <c r="G880" s="3" t="n">
        <v>7</v>
      </c>
      <c r="H880" s="3" t="n">
        <v>635454.2</v>
      </c>
      <c r="I880" s="3" t="n">
        <v>661</v>
      </c>
      <c r="J880" s="3" t="n">
        <v>258774</v>
      </c>
      <c r="K880" s="3" t="n">
        <v>37473</v>
      </c>
      <c r="L880" s="3" t="n">
        <v>235</v>
      </c>
      <c r="M880" s="4" t="n">
        <f aca="false">IFERROR(D880/C880,0)</f>
        <v>0.140579710144928</v>
      </c>
      <c r="N880" s="4" t="n">
        <f aca="false">IFERROR(E880/C880,0)</f>
        <v>0.430434782608696</v>
      </c>
      <c r="O880" s="5" t="n">
        <f aca="false">IFERROR(F880/MAX(C880-D880,1),0)</f>
        <v>2.74451939291737</v>
      </c>
      <c r="P880" s="5" t="n">
        <f aca="false">IFERROR(F880/C880,0)</f>
        <v>2.35869565217391</v>
      </c>
      <c r="Q880" s="5" t="n">
        <f aca="false">IFERROR(H880/C880,0)</f>
        <v>460.474057971015</v>
      </c>
      <c r="R880" s="4" t="n">
        <f aca="false">IFERROR(I880/F880,0)</f>
        <v>0.203072196620584</v>
      </c>
      <c r="S880" s="4" t="n">
        <f aca="false">IFERROR(K880/J880,0)</f>
        <v>0.144809756776183</v>
      </c>
      <c r="T880" s="6" t="s">
        <v>23</v>
      </c>
    </row>
    <row r="881" customFormat="false" ht="15" hidden="false" customHeight="false" outlineLevel="0" collapsed="false">
      <c r="A881" s="3" t="s">
        <v>914</v>
      </c>
      <c r="B881" s="3" t="s">
        <v>26</v>
      </c>
      <c r="C881" s="3" t="n">
        <v>1158</v>
      </c>
      <c r="D881" s="3" t="n">
        <v>179</v>
      </c>
      <c r="E881" s="3" t="n">
        <v>483</v>
      </c>
      <c r="F881" s="3" t="n">
        <v>3344</v>
      </c>
      <c r="G881" s="3" t="n">
        <v>12</v>
      </c>
      <c r="H881" s="3" t="n">
        <v>376457.8</v>
      </c>
      <c r="I881" s="3" t="n">
        <v>695</v>
      </c>
      <c r="J881" s="3" t="n">
        <v>158494</v>
      </c>
      <c r="K881" s="3" t="n">
        <v>37019</v>
      </c>
      <c r="L881" s="3" t="n">
        <v>407</v>
      </c>
      <c r="M881" s="4" t="n">
        <f aca="false">IFERROR(D881/C881,0)</f>
        <v>0.154576856649396</v>
      </c>
      <c r="N881" s="4" t="n">
        <f aca="false">IFERROR(E881/C881,0)</f>
        <v>0.417098445595855</v>
      </c>
      <c r="O881" s="5" t="n">
        <f aca="false">IFERROR(F881/MAX(C881-D881,1),0)</f>
        <v>3.41573033707865</v>
      </c>
      <c r="P881" s="5" t="n">
        <f aca="false">IFERROR(F881/C881,0)</f>
        <v>2.88773747841105</v>
      </c>
      <c r="Q881" s="5" t="n">
        <f aca="false">IFERROR(H881/C881,0)</f>
        <v>325.093091537133</v>
      </c>
      <c r="R881" s="4" t="n">
        <f aca="false">IFERROR(I881/F881,0)</f>
        <v>0.207834928229665</v>
      </c>
      <c r="S881" s="4" t="n">
        <f aca="false">IFERROR(K881/J881,0)</f>
        <v>0.233567201282067</v>
      </c>
      <c r="T881" s="6" t="s">
        <v>23</v>
      </c>
    </row>
    <row r="882" customFormat="false" ht="15" hidden="false" customHeight="false" outlineLevel="0" collapsed="false">
      <c r="A882" s="3" t="s">
        <v>915</v>
      </c>
      <c r="B882" s="3" t="s">
        <v>26</v>
      </c>
      <c r="C882" s="3" t="n">
        <v>2030</v>
      </c>
      <c r="D882" s="3" t="n">
        <v>345</v>
      </c>
      <c r="E882" s="3" t="n">
        <v>962</v>
      </c>
      <c r="F882" s="3" t="n">
        <v>7025</v>
      </c>
      <c r="G882" s="3" t="n">
        <v>14</v>
      </c>
      <c r="H882" s="3" t="n">
        <v>1027268.7</v>
      </c>
      <c r="I882" s="3" t="n">
        <v>965</v>
      </c>
      <c r="J882" s="3" t="n">
        <v>270496</v>
      </c>
      <c r="K882" s="3" t="n">
        <v>51904</v>
      </c>
      <c r="L882" s="3" t="n">
        <v>538</v>
      </c>
      <c r="M882" s="4" t="n">
        <f aca="false">IFERROR(D882/C882,0)</f>
        <v>0.169950738916256</v>
      </c>
      <c r="N882" s="4" t="n">
        <f aca="false">IFERROR(E882/C882,0)</f>
        <v>0.473891625615764</v>
      </c>
      <c r="O882" s="5" t="n">
        <f aca="false">IFERROR(F882/MAX(C882-D882,1),0)</f>
        <v>4.16913946587537</v>
      </c>
      <c r="P882" s="5" t="n">
        <f aca="false">IFERROR(F882/C882,0)</f>
        <v>3.46059113300493</v>
      </c>
      <c r="Q882" s="5" t="n">
        <f aca="false">IFERROR(H882/C882,0)</f>
        <v>506.043694581281</v>
      </c>
      <c r="R882" s="4" t="n">
        <f aca="false">IFERROR(I882/F882,0)</f>
        <v>0.137366548042705</v>
      </c>
      <c r="S882" s="4" t="n">
        <f aca="false">IFERROR(K882/J882,0)</f>
        <v>0.191884538033834</v>
      </c>
      <c r="T882" s="6" t="s">
        <v>23</v>
      </c>
    </row>
    <row r="883" customFormat="false" ht="15" hidden="false" customHeight="false" outlineLevel="0" collapsed="false">
      <c r="A883" s="3" t="s">
        <v>916</v>
      </c>
      <c r="B883" s="3" t="s">
        <v>22</v>
      </c>
      <c r="C883" s="3" t="n">
        <v>3319</v>
      </c>
      <c r="D883" s="3" t="n">
        <v>87</v>
      </c>
      <c r="E883" s="3" t="n">
        <v>961</v>
      </c>
      <c r="F883" s="3" t="n">
        <v>7373</v>
      </c>
      <c r="G883" s="3" t="n">
        <v>10</v>
      </c>
      <c r="H883" s="3" t="n">
        <v>1306335.3</v>
      </c>
      <c r="I883" s="3" t="n">
        <v>1462</v>
      </c>
      <c r="J883" s="3" t="n">
        <v>399875</v>
      </c>
      <c r="K883" s="3" t="n">
        <v>79543</v>
      </c>
      <c r="L883" s="3" t="n">
        <v>1092</v>
      </c>
      <c r="M883" s="4" t="n">
        <f aca="false">IFERROR(D883/C883,0)</f>
        <v>0.0262127146730943</v>
      </c>
      <c r="N883" s="4" t="n">
        <f aca="false">IFERROR(E883/C883,0)</f>
        <v>0.289545043687858</v>
      </c>
      <c r="O883" s="5" t="n">
        <f aca="false">IFERROR(F883/MAX(C883-D883,1),0)</f>
        <v>2.28125</v>
      </c>
      <c r="P883" s="5" t="n">
        <f aca="false">IFERROR(F883/C883,0)</f>
        <v>2.221452244652</v>
      </c>
      <c r="Q883" s="5" t="n">
        <f aca="false">IFERROR(H883/C883,0)</f>
        <v>393.593040072311</v>
      </c>
      <c r="R883" s="4" t="n">
        <f aca="false">IFERROR(I883/F883,0)</f>
        <v>0.198291061982911</v>
      </c>
      <c r="S883" s="4" t="n">
        <f aca="false">IFERROR(K883/J883,0)</f>
        <v>0.198919662394498</v>
      </c>
      <c r="T883" s="6" t="s">
        <v>23</v>
      </c>
    </row>
    <row r="884" customFormat="false" ht="15" hidden="false" customHeight="false" outlineLevel="0" collapsed="false">
      <c r="A884" s="9" t="s">
        <v>917</v>
      </c>
      <c r="B884" s="9" t="s">
        <v>29</v>
      </c>
      <c r="C884" s="9" t="n">
        <v>2527</v>
      </c>
      <c r="D884" s="9" t="n">
        <v>610</v>
      </c>
      <c r="E884" s="9" t="n">
        <v>1004</v>
      </c>
      <c r="F884" s="9" t="n">
        <v>9056</v>
      </c>
      <c r="G884" s="9" t="n">
        <v>7</v>
      </c>
      <c r="H884" s="9" t="n">
        <v>1662588.6</v>
      </c>
      <c r="I884" s="9" t="n">
        <v>5109</v>
      </c>
      <c r="J884" s="9" t="n">
        <v>257725</v>
      </c>
      <c r="K884" s="9" t="n">
        <v>227644</v>
      </c>
      <c r="L884" s="9" t="n">
        <v>0</v>
      </c>
      <c r="M884" s="10" t="n">
        <f aca="false">IFERROR(D884/C884,0)</f>
        <v>0.241392956074397</v>
      </c>
      <c r="N884" s="10" t="n">
        <f aca="false">IFERROR(E884/C884,0)</f>
        <v>0.397309062129007</v>
      </c>
      <c r="O884" s="11" t="n">
        <f aca="false">IFERROR(F884/MAX(C884-D884,1),0)</f>
        <v>4.72404799165363</v>
      </c>
      <c r="P884" s="11" t="n">
        <f aca="false">IFERROR(F884/C884,0)</f>
        <v>3.58369608231104</v>
      </c>
      <c r="Q884" s="11" t="n">
        <f aca="false">IFERROR(H884/C884,0)</f>
        <v>657.92979817966</v>
      </c>
      <c r="R884" s="10" t="n">
        <f aca="false">IFERROR(I884/F884,0)</f>
        <v>0.564156360424028</v>
      </c>
      <c r="S884" s="10" t="n">
        <f aca="false">IFERROR(K884/J884,0)</f>
        <v>0.883282568629353</v>
      </c>
      <c r="T884" s="12" t="s">
        <v>30</v>
      </c>
    </row>
    <row r="885" customFormat="false" ht="15" hidden="false" customHeight="false" outlineLevel="0" collapsed="false">
      <c r="A885" s="3" t="s">
        <v>918</v>
      </c>
      <c r="B885" s="3" t="s">
        <v>22</v>
      </c>
      <c r="C885" s="3" t="n">
        <v>939</v>
      </c>
      <c r="D885" s="3" t="n">
        <v>80</v>
      </c>
      <c r="E885" s="3" t="n">
        <v>323</v>
      </c>
      <c r="F885" s="3" t="n">
        <v>2767</v>
      </c>
      <c r="G885" s="3" t="n">
        <v>11</v>
      </c>
      <c r="H885" s="3" t="n">
        <v>308845</v>
      </c>
      <c r="I885" s="3" t="n">
        <v>640</v>
      </c>
      <c r="J885" s="3" t="n">
        <v>99304</v>
      </c>
      <c r="K885" s="3" t="n">
        <v>20842</v>
      </c>
      <c r="L885" s="3" t="n">
        <v>385</v>
      </c>
      <c r="M885" s="4" t="n">
        <f aca="false">IFERROR(D885/C885,0)</f>
        <v>0.0851970181043664</v>
      </c>
      <c r="N885" s="4" t="n">
        <f aca="false">IFERROR(E885/C885,0)</f>
        <v>0.343982960596379</v>
      </c>
      <c r="O885" s="5" t="n">
        <f aca="false">IFERROR(F885/MAX(C885-D885,1),0)</f>
        <v>3.22118742724098</v>
      </c>
      <c r="P885" s="5" t="n">
        <f aca="false">IFERROR(F885/C885,0)</f>
        <v>2.94675186368477</v>
      </c>
      <c r="Q885" s="5" t="n">
        <f aca="false">IFERROR(H885/C885,0)</f>
        <v>328.908413205538</v>
      </c>
      <c r="R885" s="4" t="n">
        <f aca="false">IFERROR(I885/F885,0)</f>
        <v>0.231297434044091</v>
      </c>
      <c r="S885" s="4" t="n">
        <f aca="false">IFERROR(K885/J885,0)</f>
        <v>0.209880770160316</v>
      </c>
      <c r="T885" s="6" t="s">
        <v>23</v>
      </c>
    </row>
    <row r="886" customFormat="false" ht="15" hidden="false" customHeight="false" outlineLevel="0" collapsed="false">
      <c r="A886" s="3" t="s">
        <v>919</v>
      </c>
      <c r="B886" s="3" t="s">
        <v>29</v>
      </c>
      <c r="C886" s="3" t="n">
        <v>2044</v>
      </c>
      <c r="D886" s="3" t="n">
        <v>319</v>
      </c>
      <c r="E886" s="3" t="n">
        <v>945</v>
      </c>
      <c r="F886" s="3" t="n">
        <v>7936</v>
      </c>
      <c r="G886" s="3" t="n">
        <v>18</v>
      </c>
      <c r="H886" s="3" t="n">
        <v>1313803.9</v>
      </c>
      <c r="I886" s="3" t="n">
        <v>1886</v>
      </c>
      <c r="J886" s="3" t="n">
        <v>225050</v>
      </c>
      <c r="K886" s="3" t="n">
        <v>39855</v>
      </c>
      <c r="L886" s="3" t="n">
        <v>0</v>
      </c>
      <c r="M886" s="4" t="n">
        <f aca="false">IFERROR(D886/C886,0)</f>
        <v>0.156066536203523</v>
      </c>
      <c r="N886" s="4" t="n">
        <f aca="false">IFERROR(E886/C886,0)</f>
        <v>0.462328767123288</v>
      </c>
      <c r="O886" s="5" t="n">
        <f aca="false">IFERROR(F886/MAX(C886-D886,1),0)</f>
        <v>4.60057971014493</v>
      </c>
      <c r="P886" s="5" t="n">
        <f aca="false">IFERROR(F886/C886,0)</f>
        <v>3.8825831702544</v>
      </c>
      <c r="Q886" s="5" t="n">
        <f aca="false">IFERROR(H886/C886,0)</f>
        <v>642.761203522505</v>
      </c>
      <c r="R886" s="4" t="n">
        <f aca="false">IFERROR(I886/F886,0)</f>
        <v>0.237651209677419</v>
      </c>
      <c r="S886" s="4" t="n">
        <f aca="false">IFERROR(K886/J886,0)</f>
        <v>0.177093979115752</v>
      </c>
      <c r="T886" s="6" t="s">
        <v>23</v>
      </c>
    </row>
    <row r="887" customFormat="false" ht="15" hidden="false" customHeight="false" outlineLevel="0" collapsed="false">
      <c r="A887" s="3" t="s">
        <v>920</v>
      </c>
      <c r="B887" s="3" t="s">
        <v>22</v>
      </c>
      <c r="C887" s="3" t="n">
        <v>898</v>
      </c>
      <c r="D887" s="3" t="n">
        <v>44</v>
      </c>
      <c r="E887" s="3" t="n">
        <v>232</v>
      </c>
      <c r="F887" s="3" t="n">
        <v>975</v>
      </c>
      <c r="G887" s="3" t="n">
        <v>2</v>
      </c>
      <c r="H887" s="3" t="n">
        <v>292779.2</v>
      </c>
      <c r="I887" s="3" t="n">
        <v>176</v>
      </c>
      <c r="J887" s="3" t="n">
        <v>72687</v>
      </c>
      <c r="K887" s="3" t="n">
        <v>10966</v>
      </c>
      <c r="L887" s="3" t="n">
        <v>276</v>
      </c>
      <c r="M887" s="4" t="n">
        <f aca="false">IFERROR(D887/C887,0)</f>
        <v>0.0489977728285078</v>
      </c>
      <c r="N887" s="4" t="n">
        <f aca="false">IFERROR(E887/C887,0)</f>
        <v>0.258351893095768</v>
      </c>
      <c r="O887" s="5" t="n">
        <f aca="false">IFERROR(F887/MAX(C887-D887,1),0)</f>
        <v>1.14168618266979</v>
      </c>
      <c r="P887" s="5" t="n">
        <f aca="false">IFERROR(F887/C887,0)</f>
        <v>1.08574610244989</v>
      </c>
      <c r="Q887" s="5" t="n">
        <f aca="false">IFERROR(H887/C887,0)</f>
        <v>326.034743875278</v>
      </c>
      <c r="R887" s="4" t="n">
        <f aca="false">IFERROR(I887/F887,0)</f>
        <v>0.180512820512821</v>
      </c>
      <c r="S887" s="4" t="n">
        <f aca="false">IFERROR(K887/J887,0)</f>
        <v>0.150866042070797</v>
      </c>
      <c r="T887" s="6" t="s">
        <v>23</v>
      </c>
    </row>
    <row r="888" customFormat="false" ht="15" hidden="false" customHeight="false" outlineLevel="0" collapsed="false">
      <c r="A888" s="9" t="s">
        <v>921</v>
      </c>
      <c r="B888" s="9" t="s">
        <v>29</v>
      </c>
      <c r="C888" s="9" t="n">
        <v>2860</v>
      </c>
      <c r="D888" s="9" t="n">
        <v>146</v>
      </c>
      <c r="E888" s="9" t="n">
        <v>752</v>
      </c>
      <c r="F888" s="9" t="n">
        <v>28424</v>
      </c>
      <c r="G888" s="9" t="n">
        <v>31</v>
      </c>
      <c r="H888" s="9" t="n">
        <v>1879380.2</v>
      </c>
      <c r="I888" s="9" t="n">
        <v>13899</v>
      </c>
      <c r="J888" s="9" t="n">
        <v>241777</v>
      </c>
      <c r="K888" s="9" t="n">
        <v>176050</v>
      </c>
      <c r="L888" s="9" t="n">
        <v>0</v>
      </c>
      <c r="M888" s="10" t="n">
        <f aca="false">IFERROR(D888/C888,0)</f>
        <v>0.0510489510489511</v>
      </c>
      <c r="N888" s="10" t="n">
        <f aca="false">IFERROR(E888/C888,0)</f>
        <v>0.262937062937063</v>
      </c>
      <c r="O888" s="11" t="n">
        <f aca="false">IFERROR(F888/MAX(C888-D888,1),0)</f>
        <v>10.4731024318349</v>
      </c>
      <c r="P888" s="11" t="n">
        <f aca="false">IFERROR(F888/C888,0)</f>
        <v>9.93846153846154</v>
      </c>
      <c r="Q888" s="11" t="n">
        <f aca="false">IFERROR(H888/C888,0)</f>
        <v>657.125944055944</v>
      </c>
      <c r="R888" s="10" t="n">
        <f aca="false">IFERROR(I888/F888,0)</f>
        <v>0.488988179003659</v>
      </c>
      <c r="S888" s="10" t="n">
        <f aca="false">IFERROR(K888/J888,0)</f>
        <v>0.728150320336508</v>
      </c>
      <c r="T888" s="12" t="s">
        <v>30</v>
      </c>
    </row>
    <row r="889" customFormat="false" ht="15" hidden="false" customHeight="false" outlineLevel="0" collapsed="false">
      <c r="A889" s="9" t="s">
        <v>922</v>
      </c>
      <c r="B889" s="9" t="s">
        <v>29</v>
      </c>
      <c r="C889" s="9" t="n">
        <v>3086</v>
      </c>
      <c r="D889" s="9" t="n">
        <v>1485</v>
      </c>
      <c r="E889" s="9" t="n">
        <v>2182</v>
      </c>
      <c r="F889" s="9" t="n">
        <v>20165</v>
      </c>
      <c r="G889" s="9" t="n">
        <v>18</v>
      </c>
      <c r="H889" s="9" t="n">
        <v>2337089.5</v>
      </c>
      <c r="I889" s="9" t="n">
        <v>10675</v>
      </c>
      <c r="J889" s="9" t="n">
        <v>253580</v>
      </c>
      <c r="K889" s="9" t="n">
        <v>191095</v>
      </c>
      <c r="L889" s="9" t="n">
        <v>0</v>
      </c>
      <c r="M889" s="10" t="n">
        <f aca="false">IFERROR(D889/C889,0)</f>
        <v>0.481205443940376</v>
      </c>
      <c r="N889" s="10" t="n">
        <f aca="false">IFERROR(E889/C889,0)</f>
        <v>0.707064160725859</v>
      </c>
      <c r="O889" s="11" t="n">
        <f aca="false">IFERROR(F889/MAX(C889-D889,1),0)</f>
        <v>12.5952529668957</v>
      </c>
      <c r="P889" s="11" t="n">
        <f aca="false">IFERROR(F889/C889,0)</f>
        <v>6.53434867141931</v>
      </c>
      <c r="Q889" s="11" t="n">
        <f aca="false">IFERROR(H889/C889,0)</f>
        <v>757.319993519119</v>
      </c>
      <c r="R889" s="10" t="n">
        <f aca="false">IFERROR(I889/F889,0)</f>
        <v>0.529382593602777</v>
      </c>
      <c r="S889" s="10" t="n">
        <f aca="false">IFERROR(K889/J889,0)</f>
        <v>0.753588611089203</v>
      </c>
      <c r="T889" s="12" t="s">
        <v>30</v>
      </c>
    </row>
    <row r="890" customFormat="false" ht="15" hidden="false" customHeight="false" outlineLevel="0" collapsed="false">
      <c r="A890" s="9" t="s">
        <v>923</v>
      </c>
      <c r="B890" s="9" t="s">
        <v>26</v>
      </c>
      <c r="C890" s="9" t="n">
        <v>974</v>
      </c>
      <c r="D890" s="9" t="n">
        <v>232</v>
      </c>
      <c r="E890" s="9" t="n">
        <v>489</v>
      </c>
      <c r="F890" s="9" t="n">
        <v>9003</v>
      </c>
      <c r="G890" s="9" t="n">
        <v>33</v>
      </c>
      <c r="H890" s="9" t="n">
        <v>796856.2</v>
      </c>
      <c r="I890" s="9" t="n">
        <v>7022</v>
      </c>
      <c r="J890" s="9" t="n">
        <v>89594</v>
      </c>
      <c r="K890" s="9" t="n">
        <v>58596</v>
      </c>
      <c r="L890" s="9" t="n">
        <v>180</v>
      </c>
      <c r="M890" s="10" t="n">
        <f aca="false">IFERROR(D890/C890,0)</f>
        <v>0.238193018480493</v>
      </c>
      <c r="N890" s="10" t="n">
        <f aca="false">IFERROR(E890/C890,0)</f>
        <v>0.502053388090349</v>
      </c>
      <c r="O890" s="11" t="n">
        <f aca="false">IFERROR(F890/MAX(C890-D890,1),0)</f>
        <v>12.133423180593</v>
      </c>
      <c r="P890" s="11" t="n">
        <f aca="false">IFERROR(F890/C890,0)</f>
        <v>9.24332648870637</v>
      </c>
      <c r="Q890" s="11" t="n">
        <f aca="false">IFERROR(H890/C890,0)</f>
        <v>818.127515400411</v>
      </c>
      <c r="R890" s="10" t="n">
        <f aca="false">IFERROR(I890/F890,0)</f>
        <v>0.779962234810619</v>
      </c>
      <c r="S890" s="10" t="n">
        <f aca="false">IFERROR(K890/J890,0)</f>
        <v>0.654017010067639</v>
      </c>
      <c r="T890" s="12" t="s">
        <v>30</v>
      </c>
    </row>
    <row r="891" customFormat="false" ht="15" hidden="false" customHeight="false" outlineLevel="0" collapsed="false">
      <c r="A891" s="9" t="s">
        <v>924</v>
      </c>
      <c r="B891" s="9" t="s">
        <v>26</v>
      </c>
      <c r="C891" s="9" t="n">
        <v>2494</v>
      </c>
      <c r="D891" s="9" t="n">
        <v>502</v>
      </c>
      <c r="E891" s="9" t="n">
        <v>960</v>
      </c>
      <c r="F891" s="9" t="n">
        <v>20546</v>
      </c>
      <c r="G891" s="9" t="n">
        <v>27</v>
      </c>
      <c r="H891" s="9" t="n">
        <v>2221744</v>
      </c>
      <c r="I891" s="9" t="n">
        <v>13819</v>
      </c>
      <c r="J891" s="9" t="n">
        <v>454943</v>
      </c>
      <c r="K891" s="9" t="n">
        <v>240871</v>
      </c>
      <c r="L891" s="9" t="n">
        <v>795</v>
      </c>
      <c r="M891" s="10" t="n">
        <f aca="false">IFERROR(D891/C891,0)</f>
        <v>0.201283079390537</v>
      </c>
      <c r="N891" s="10" t="n">
        <f aca="false">IFERROR(E891/C891,0)</f>
        <v>0.384923817161187</v>
      </c>
      <c r="O891" s="11" t="n">
        <f aca="false">IFERROR(F891/MAX(C891-D891,1),0)</f>
        <v>10.3142570281125</v>
      </c>
      <c r="P891" s="11" t="n">
        <f aca="false">IFERROR(F891/C891,0)</f>
        <v>8.23817161186848</v>
      </c>
      <c r="Q891" s="11" t="n">
        <f aca="false">IFERROR(H891/C891,0)</f>
        <v>890.835605453087</v>
      </c>
      <c r="R891" s="10" t="n">
        <f aca="false">IFERROR(I891/F891,0)</f>
        <v>0.672588338362698</v>
      </c>
      <c r="S891" s="10" t="n">
        <f aca="false">IFERROR(K891/J891,0)</f>
        <v>0.529453140283508</v>
      </c>
      <c r="T891" s="12" t="s">
        <v>30</v>
      </c>
    </row>
    <row r="892" customFormat="false" ht="15" hidden="false" customHeight="false" outlineLevel="0" collapsed="false">
      <c r="A892" s="9" t="s">
        <v>925</v>
      </c>
      <c r="B892" s="9" t="s">
        <v>26</v>
      </c>
      <c r="C892" s="9" t="n">
        <v>3032</v>
      </c>
      <c r="D892" s="9" t="n">
        <v>1055</v>
      </c>
      <c r="E892" s="9" t="n">
        <v>1857</v>
      </c>
      <c r="F892" s="9" t="n">
        <v>21339</v>
      </c>
      <c r="G892" s="9" t="n">
        <v>18</v>
      </c>
      <c r="H892" s="9" t="n">
        <v>2936145.2</v>
      </c>
      <c r="I892" s="9" t="n">
        <v>14492</v>
      </c>
      <c r="J892" s="9" t="n">
        <v>434858</v>
      </c>
      <c r="K892" s="9" t="n">
        <v>373346</v>
      </c>
      <c r="L892" s="9" t="n">
        <v>1122</v>
      </c>
      <c r="M892" s="10" t="n">
        <f aca="false">IFERROR(D892/C892,0)</f>
        <v>0.347955145118734</v>
      </c>
      <c r="N892" s="10" t="n">
        <f aca="false">IFERROR(E892/C892,0)</f>
        <v>0.612467018469657</v>
      </c>
      <c r="O892" s="11" t="n">
        <f aca="false">IFERROR(F892/MAX(C892-D892,1),0)</f>
        <v>10.793626707132</v>
      </c>
      <c r="P892" s="11" t="n">
        <f aca="false">IFERROR(F892/C892,0)</f>
        <v>7.03792875989446</v>
      </c>
      <c r="Q892" s="11" t="n">
        <f aca="false">IFERROR(H892/C892,0)</f>
        <v>968.385620052771</v>
      </c>
      <c r="R892" s="10" t="n">
        <f aca="false">IFERROR(I892/F892,0)</f>
        <v>0.679132105534468</v>
      </c>
      <c r="S892" s="10" t="n">
        <f aca="false">IFERROR(K892/J892,0)</f>
        <v>0.858546927962691</v>
      </c>
      <c r="T892" s="12" t="s">
        <v>30</v>
      </c>
    </row>
    <row r="893" customFormat="false" ht="15" hidden="false" customHeight="false" outlineLevel="0" collapsed="false">
      <c r="A893" s="3" t="s">
        <v>926</v>
      </c>
      <c r="B893" s="3" t="s">
        <v>22</v>
      </c>
      <c r="C893" s="3" t="n">
        <v>3684</v>
      </c>
      <c r="D893" s="3" t="n">
        <v>414</v>
      </c>
      <c r="E893" s="3" t="n">
        <v>1097</v>
      </c>
      <c r="F893" s="3" t="n">
        <v>8086</v>
      </c>
      <c r="G893" s="3" t="n">
        <v>10</v>
      </c>
      <c r="H893" s="3" t="n">
        <v>1526436.1</v>
      </c>
      <c r="I893" s="3" t="n">
        <v>1458</v>
      </c>
      <c r="J893" s="3" t="n">
        <v>566747</v>
      </c>
      <c r="K893" s="3" t="n">
        <v>103424</v>
      </c>
      <c r="L893" s="3" t="n">
        <v>1778</v>
      </c>
      <c r="M893" s="4" t="n">
        <f aca="false">IFERROR(D893/C893,0)</f>
        <v>0.112377850162866</v>
      </c>
      <c r="N893" s="4" t="n">
        <f aca="false">IFERROR(E893/C893,0)</f>
        <v>0.297774158523344</v>
      </c>
      <c r="O893" s="5" t="n">
        <f aca="false">IFERROR(F893/MAX(C893-D893,1),0)</f>
        <v>2.47278287461774</v>
      </c>
      <c r="P893" s="5" t="n">
        <f aca="false">IFERROR(F893/C893,0)</f>
        <v>2.19489685124864</v>
      </c>
      <c r="Q893" s="5" t="n">
        <f aca="false">IFERROR(H893/C893,0)</f>
        <v>414.342046688382</v>
      </c>
      <c r="R893" s="4" t="n">
        <f aca="false">IFERROR(I893/F893,0)</f>
        <v>0.180311649765026</v>
      </c>
      <c r="S893" s="4" t="n">
        <f aca="false">IFERROR(K893/J893,0)</f>
        <v>0.18248707095053</v>
      </c>
      <c r="T893" s="6" t="s">
        <v>23</v>
      </c>
    </row>
    <row r="894" customFormat="false" ht="15" hidden="false" customHeight="false" outlineLevel="0" collapsed="false">
      <c r="A894" s="3" t="s">
        <v>927</v>
      </c>
      <c r="B894" s="3" t="s">
        <v>22</v>
      </c>
      <c r="C894" s="3" t="n">
        <v>2985</v>
      </c>
      <c r="D894" s="3" t="n">
        <v>68</v>
      </c>
      <c r="E894" s="3" t="n">
        <v>1010</v>
      </c>
      <c r="F894" s="3" t="n">
        <v>2526</v>
      </c>
      <c r="G894" s="3" t="n">
        <v>2</v>
      </c>
      <c r="H894" s="3" t="n">
        <v>268650</v>
      </c>
      <c r="I894" s="3" t="n">
        <v>302</v>
      </c>
      <c r="J894" s="3" t="n">
        <v>319562</v>
      </c>
      <c r="K894" s="3" t="n">
        <v>37271</v>
      </c>
      <c r="L894" s="3" t="n">
        <v>896</v>
      </c>
      <c r="M894" s="4" t="n">
        <f aca="false">IFERROR(D894/C894,0)</f>
        <v>0.0227805695142379</v>
      </c>
      <c r="N894" s="4" t="n">
        <f aca="false">IFERROR(E894/C894,0)</f>
        <v>0.338358458961474</v>
      </c>
      <c r="O894" s="5" t="n">
        <f aca="false">IFERROR(F894/MAX(C894-D894,1),0)</f>
        <v>0.865958176208433</v>
      </c>
      <c r="P894" s="5" t="n">
        <f aca="false">IFERROR(F894/C894,0)</f>
        <v>0.846231155778895</v>
      </c>
      <c r="Q894" s="5" t="n">
        <f aca="false">IFERROR(H894/C894,0)</f>
        <v>90</v>
      </c>
      <c r="R894" s="4" t="n">
        <f aca="false">IFERROR(I894/F894,0)</f>
        <v>0.119556611243072</v>
      </c>
      <c r="S894" s="4" t="n">
        <f aca="false">IFERROR(K894/J894,0)</f>
        <v>0.116631514385315</v>
      </c>
      <c r="T894" s="6" t="s">
        <v>23</v>
      </c>
    </row>
    <row r="895" customFormat="false" ht="15" hidden="false" customHeight="false" outlineLevel="0" collapsed="false">
      <c r="A895" s="3" t="s">
        <v>928</v>
      </c>
      <c r="B895" s="3" t="s">
        <v>26</v>
      </c>
      <c r="C895" s="3" t="n">
        <v>3724</v>
      </c>
      <c r="D895" s="3" t="n">
        <v>395</v>
      </c>
      <c r="E895" s="3" t="n">
        <v>1033</v>
      </c>
      <c r="F895" s="3" t="n">
        <v>11690</v>
      </c>
      <c r="G895" s="3" t="n">
        <v>15</v>
      </c>
      <c r="H895" s="3" t="n">
        <v>1903843.6</v>
      </c>
      <c r="I895" s="3" t="n">
        <v>2237</v>
      </c>
      <c r="J895" s="3" t="n">
        <v>617250</v>
      </c>
      <c r="K895" s="3" t="n">
        <v>98044</v>
      </c>
      <c r="L895" s="3" t="n">
        <v>1329</v>
      </c>
      <c r="M895" s="4" t="n">
        <f aca="false">IFERROR(D895/C895,0)</f>
        <v>0.106068743286788</v>
      </c>
      <c r="N895" s="4" t="n">
        <f aca="false">IFERROR(E895/C895,0)</f>
        <v>0.277389903329753</v>
      </c>
      <c r="O895" s="5" t="n">
        <f aca="false">IFERROR(F895/MAX(C895-D895,1),0)</f>
        <v>3.51156503454491</v>
      </c>
      <c r="P895" s="5" t="n">
        <f aca="false">IFERROR(F895/C895,0)</f>
        <v>3.1390977443609</v>
      </c>
      <c r="Q895" s="5" t="n">
        <f aca="false">IFERROR(H895/C895,0)</f>
        <v>511.23619763695</v>
      </c>
      <c r="R895" s="4" t="n">
        <f aca="false">IFERROR(I895/F895,0)</f>
        <v>0.191360136869119</v>
      </c>
      <c r="S895" s="4" t="n">
        <f aca="false">IFERROR(K895/J895,0)</f>
        <v>0.158840016200891</v>
      </c>
      <c r="T895" s="6" t="s">
        <v>23</v>
      </c>
    </row>
    <row r="896" customFormat="false" ht="15" hidden="false" customHeight="false" outlineLevel="0" collapsed="false">
      <c r="A896" s="9" t="s">
        <v>929</v>
      </c>
      <c r="B896" s="9" t="s">
        <v>22</v>
      </c>
      <c r="C896" s="9" t="n">
        <v>2454</v>
      </c>
      <c r="D896" s="9" t="n">
        <v>379</v>
      </c>
      <c r="E896" s="9" t="n">
        <v>1104</v>
      </c>
      <c r="F896" s="9" t="n">
        <v>11609</v>
      </c>
      <c r="G896" s="9" t="n">
        <v>17</v>
      </c>
      <c r="H896" s="9" t="n">
        <v>1967821.6</v>
      </c>
      <c r="I896" s="9" t="n">
        <v>7890</v>
      </c>
      <c r="J896" s="9" t="n">
        <v>439132</v>
      </c>
      <c r="K896" s="9" t="n">
        <v>230827</v>
      </c>
      <c r="L896" s="9" t="n">
        <v>718</v>
      </c>
      <c r="M896" s="10" t="n">
        <f aca="false">IFERROR(D896/C896,0)</f>
        <v>0.154441727791361</v>
      </c>
      <c r="N896" s="10" t="n">
        <f aca="false">IFERROR(E896/C896,0)</f>
        <v>0.449877750611247</v>
      </c>
      <c r="O896" s="11" t="n">
        <f aca="false">IFERROR(F896/MAX(C896-D896,1),0)</f>
        <v>5.59469879518072</v>
      </c>
      <c r="P896" s="11" t="n">
        <f aca="false">IFERROR(F896/C896,0)</f>
        <v>4.73064384678077</v>
      </c>
      <c r="Q896" s="11" t="n">
        <f aca="false">IFERROR(H896/C896,0)</f>
        <v>801.883292583537</v>
      </c>
      <c r="R896" s="10" t="n">
        <f aca="false">IFERROR(I896/F896,0)</f>
        <v>0.679645102937376</v>
      </c>
      <c r="S896" s="10" t="n">
        <f aca="false">IFERROR(K896/J896,0)</f>
        <v>0.525643769982602</v>
      </c>
      <c r="T896" s="12" t="s">
        <v>30</v>
      </c>
    </row>
    <row r="897" customFormat="false" ht="15" hidden="false" customHeight="false" outlineLevel="0" collapsed="false">
      <c r="A897" s="3" t="s">
        <v>930</v>
      </c>
      <c r="B897" s="3" t="s">
        <v>29</v>
      </c>
      <c r="C897" s="3" t="n">
        <v>3509</v>
      </c>
      <c r="D897" s="3" t="n">
        <v>585</v>
      </c>
      <c r="E897" s="3" t="n">
        <v>1565</v>
      </c>
      <c r="F897" s="3" t="n">
        <v>13225</v>
      </c>
      <c r="G897" s="3" t="n">
        <v>20</v>
      </c>
      <c r="H897" s="3" t="n">
        <v>2655337.4</v>
      </c>
      <c r="I897" s="3" t="n">
        <v>2722</v>
      </c>
      <c r="J897" s="3" t="n">
        <v>403927</v>
      </c>
      <c r="K897" s="3" t="n">
        <v>115542</v>
      </c>
      <c r="L897" s="3" t="n">
        <v>0</v>
      </c>
      <c r="M897" s="4" t="n">
        <f aca="false">IFERROR(D897/C897,0)</f>
        <v>0.166714163579367</v>
      </c>
      <c r="N897" s="4" t="n">
        <f aca="false">IFERROR(E897/C897,0)</f>
        <v>0.445996010259333</v>
      </c>
      <c r="O897" s="5" t="n">
        <f aca="false">IFERROR(F897/MAX(C897-D897,1),0)</f>
        <v>4.52291381668947</v>
      </c>
      <c r="P897" s="5" t="n">
        <f aca="false">IFERROR(F897/C897,0)</f>
        <v>3.76888002279852</v>
      </c>
      <c r="Q897" s="5" t="n">
        <f aca="false">IFERROR(H897/C897,0)</f>
        <v>756.721972071815</v>
      </c>
      <c r="R897" s="4" t="n">
        <f aca="false">IFERROR(I897/F897,0)</f>
        <v>0.205822306238185</v>
      </c>
      <c r="S897" s="4" t="n">
        <f aca="false">IFERROR(K897/J897,0)</f>
        <v>0.286046736167674</v>
      </c>
      <c r="T897" s="6" t="s">
        <v>23</v>
      </c>
    </row>
    <row r="898" customFormat="false" ht="15" hidden="false" customHeight="false" outlineLevel="0" collapsed="false">
      <c r="A898" s="9" t="s">
        <v>931</v>
      </c>
      <c r="B898" s="9" t="s">
        <v>22</v>
      </c>
      <c r="C898" s="9" t="n">
        <v>1907</v>
      </c>
      <c r="D898" s="9" t="n">
        <v>824</v>
      </c>
      <c r="E898" s="9" t="n">
        <v>1265</v>
      </c>
      <c r="F898" s="9" t="n">
        <v>11135</v>
      </c>
      <c r="G898" s="9" t="n">
        <v>18</v>
      </c>
      <c r="H898" s="9" t="n">
        <v>2284608.5</v>
      </c>
      <c r="I898" s="9" t="n">
        <v>8256</v>
      </c>
      <c r="J898" s="9" t="n">
        <v>284560</v>
      </c>
      <c r="K898" s="9" t="n">
        <v>192910</v>
      </c>
      <c r="L898" s="9" t="n">
        <v>1079</v>
      </c>
      <c r="M898" s="10" t="n">
        <f aca="false">IFERROR(D898/C898,0)</f>
        <v>0.43209229155742</v>
      </c>
      <c r="N898" s="10" t="n">
        <f aca="false">IFERROR(E898/C898,0)</f>
        <v>0.663345568956476</v>
      </c>
      <c r="O898" s="11" t="n">
        <f aca="false">IFERROR(F898/MAX(C898-D898,1),0)</f>
        <v>10.2816251154201</v>
      </c>
      <c r="P898" s="11" t="n">
        <f aca="false">IFERROR(F898/C898,0)</f>
        <v>5.83901415836392</v>
      </c>
      <c r="Q898" s="11" t="n">
        <f aca="false">IFERROR(H898/C898,0)</f>
        <v>1198.0117986366</v>
      </c>
      <c r="R898" s="10" t="n">
        <f aca="false">IFERROR(I898/F898,0)</f>
        <v>0.741445891333633</v>
      </c>
      <c r="S898" s="10" t="n">
        <f aca="false">IFERROR(K898/J898,0)</f>
        <v>0.677923812201293</v>
      </c>
      <c r="T898" s="12" t="s">
        <v>30</v>
      </c>
    </row>
    <row r="899" customFormat="false" ht="15" hidden="false" customHeight="false" outlineLevel="0" collapsed="false">
      <c r="A899" s="3" t="s">
        <v>932</v>
      </c>
      <c r="B899" s="3" t="s">
        <v>26</v>
      </c>
      <c r="C899" s="3" t="n">
        <v>3467</v>
      </c>
      <c r="D899" s="3" t="n">
        <v>617</v>
      </c>
      <c r="E899" s="3" t="n">
        <v>1728</v>
      </c>
      <c r="F899" s="3" t="n">
        <v>11988</v>
      </c>
      <c r="G899" s="3" t="n">
        <v>17</v>
      </c>
      <c r="H899" s="3" t="n">
        <v>2031298.8</v>
      </c>
      <c r="I899" s="3" t="n">
        <v>3269</v>
      </c>
      <c r="J899" s="3" t="n">
        <v>576663</v>
      </c>
      <c r="K899" s="3" t="n">
        <v>127260</v>
      </c>
      <c r="L899" s="3" t="n">
        <v>1883</v>
      </c>
      <c r="M899" s="4" t="n">
        <f aca="false">IFERROR(D899/C899,0)</f>
        <v>0.17796365734064</v>
      </c>
      <c r="N899" s="4" t="n">
        <f aca="false">IFERROR(E899/C899,0)</f>
        <v>0.49841361407557</v>
      </c>
      <c r="O899" s="5" t="n">
        <f aca="false">IFERROR(F899/MAX(C899-D899,1),0)</f>
        <v>4.20631578947368</v>
      </c>
      <c r="P899" s="5" t="n">
        <f aca="false">IFERROR(F899/C899,0)</f>
        <v>3.45774444764926</v>
      </c>
      <c r="Q899" s="5" t="n">
        <f aca="false">IFERROR(H899/C899,0)</f>
        <v>585.895240842227</v>
      </c>
      <c r="R899" s="4" t="n">
        <f aca="false">IFERROR(I899/F899,0)</f>
        <v>0.272689356022689</v>
      </c>
      <c r="S899" s="4" t="n">
        <f aca="false">IFERROR(K899/J899,0)</f>
        <v>0.220683484114639</v>
      </c>
      <c r="T899" s="6" t="s">
        <v>23</v>
      </c>
    </row>
    <row r="900" customFormat="false" ht="15" hidden="false" customHeight="false" outlineLevel="0" collapsed="false">
      <c r="A900" s="3" t="s">
        <v>933</v>
      </c>
      <c r="B900" s="3" t="s">
        <v>22</v>
      </c>
      <c r="C900" s="3" t="n">
        <v>3306</v>
      </c>
      <c r="D900" s="3" t="n">
        <v>387</v>
      </c>
      <c r="E900" s="3" t="n">
        <v>1312</v>
      </c>
      <c r="F900" s="3" t="n">
        <v>12411</v>
      </c>
      <c r="G900" s="3" t="n">
        <v>17</v>
      </c>
      <c r="H900" s="3" t="n">
        <v>1870128.6</v>
      </c>
      <c r="I900" s="3" t="n">
        <v>2666</v>
      </c>
      <c r="J900" s="3" t="n">
        <v>393628</v>
      </c>
      <c r="K900" s="3" t="n">
        <v>78783</v>
      </c>
      <c r="L900" s="3" t="n">
        <v>1660</v>
      </c>
      <c r="M900" s="4" t="n">
        <f aca="false">IFERROR(D900/C900,0)</f>
        <v>0.117059891107078</v>
      </c>
      <c r="N900" s="4" t="n">
        <f aca="false">IFERROR(E900/C900,0)</f>
        <v>0.396854204476709</v>
      </c>
      <c r="O900" s="5" t="n">
        <f aca="false">IFERROR(F900/MAX(C900-D900,1),0)</f>
        <v>4.25179856115108</v>
      </c>
      <c r="P900" s="5" t="n">
        <f aca="false">IFERROR(F900/C900,0)</f>
        <v>3.7540834845735</v>
      </c>
      <c r="Q900" s="5" t="n">
        <f aca="false">IFERROR(H900/C900,0)</f>
        <v>565.677132486388</v>
      </c>
      <c r="R900" s="4" t="n">
        <f aca="false">IFERROR(I900/F900,0)</f>
        <v>0.214809443235839</v>
      </c>
      <c r="S900" s="4" t="n">
        <f aca="false">IFERROR(K900/J900,0)</f>
        <v>0.200145822959749</v>
      </c>
      <c r="T900" s="6" t="s">
        <v>23</v>
      </c>
    </row>
    <row r="901" customFormat="false" ht="15" hidden="false" customHeight="false" outlineLevel="0" collapsed="false">
      <c r="A901" s="3" t="s">
        <v>934</v>
      </c>
      <c r="B901" s="3" t="s">
        <v>29</v>
      </c>
      <c r="C901" s="3" t="n">
        <v>1863</v>
      </c>
      <c r="D901" s="3" t="n">
        <v>159</v>
      </c>
      <c r="E901" s="3" t="n">
        <v>687</v>
      </c>
      <c r="F901" s="3" t="n">
        <v>3263</v>
      </c>
      <c r="G901" s="3" t="n">
        <v>7</v>
      </c>
      <c r="H901" s="3" t="n">
        <v>705649.2</v>
      </c>
      <c r="I901" s="3" t="n">
        <v>335</v>
      </c>
      <c r="J901" s="3" t="n">
        <v>184601</v>
      </c>
      <c r="K901" s="3" t="n">
        <v>34186</v>
      </c>
      <c r="L901" s="3" t="n">
        <v>0</v>
      </c>
      <c r="M901" s="4" t="n">
        <f aca="false">IFERROR(D901/C901,0)</f>
        <v>0.0853462157809984</v>
      </c>
      <c r="N901" s="4" t="n">
        <f aca="false">IFERROR(E901/C901,0)</f>
        <v>0.368760064412238</v>
      </c>
      <c r="O901" s="5" t="n">
        <f aca="false">IFERROR(F901/MAX(C901-D901,1),0)</f>
        <v>1.91490610328639</v>
      </c>
      <c r="P901" s="5" t="n">
        <f aca="false">IFERROR(F901/C901,0)</f>
        <v>1.75147611379495</v>
      </c>
      <c r="Q901" s="5" t="n">
        <f aca="false">IFERROR(H901/C901,0)</f>
        <v>378.77037037037</v>
      </c>
      <c r="R901" s="4" t="n">
        <f aca="false">IFERROR(I901/F901,0)</f>
        <v>0.102666258044744</v>
      </c>
      <c r="S901" s="4" t="n">
        <f aca="false">IFERROR(K901/J901,0)</f>
        <v>0.185188595944767</v>
      </c>
      <c r="T901" s="6" t="s">
        <v>23</v>
      </c>
    </row>
    <row r="902" customFormat="false" ht="15" hidden="false" customHeight="false" outlineLevel="0" collapsed="false">
      <c r="A902" s="3" t="s">
        <v>935</v>
      </c>
      <c r="B902" s="3" t="s">
        <v>29</v>
      </c>
      <c r="C902" s="3" t="n">
        <v>865</v>
      </c>
      <c r="D902" s="3" t="n">
        <v>74</v>
      </c>
      <c r="E902" s="3" t="n">
        <v>223</v>
      </c>
      <c r="F902" s="3" t="n">
        <v>772</v>
      </c>
      <c r="G902" s="3" t="n">
        <v>2</v>
      </c>
      <c r="H902" s="3" t="n">
        <v>291803.6</v>
      </c>
      <c r="I902" s="3" t="n">
        <v>107</v>
      </c>
      <c r="J902" s="3" t="n">
        <v>109006</v>
      </c>
      <c r="K902" s="3" t="n">
        <v>19110</v>
      </c>
      <c r="L902" s="3" t="n">
        <v>0</v>
      </c>
      <c r="M902" s="4" t="n">
        <f aca="false">IFERROR(D902/C902,0)</f>
        <v>0.0855491329479769</v>
      </c>
      <c r="N902" s="4" t="n">
        <f aca="false">IFERROR(E902/C902,0)</f>
        <v>0.257803468208092</v>
      </c>
      <c r="O902" s="5" t="n">
        <f aca="false">IFERROR(F902/MAX(C902-D902,1),0)</f>
        <v>0.975979772439949</v>
      </c>
      <c r="P902" s="5" t="n">
        <f aca="false">IFERROR(F902/C902,0)</f>
        <v>0.892485549132948</v>
      </c>
      <c r="Q902" s="5" t="n">
        <f aca="false">IFERROR(H902/C902,0)</f>
        <v>337.345202312139</v>
      </c>
      <c r="R902" s="4" t="n">
        <f aca="false">IFERROR(I902/F902,0)</f>
        <v>0.13860103626943</v>
      </c>
      <c r="S902" s="4" t="n">
        <f aca="false">IFERROR(K902/J902,0)</f>
        <v>0.175311450745831</v>
      </c>
      <c r="T902" s="6" t="s">
        <v>23</v>
      </c>
    </row>
    <row r="903" customFormat="false" ht="15" hidden="false" customHeight="false" outlineLevel="0" collapsed="false">
      <c r="A903" s="9" t="s">
        <v>936</v>
      </c>
      <c r="B903" s="9" t="s">
        <v>22</v>
      </c>
      <c r="C903" s="9" t="n">
        <v>3426</v>
      </c>
      <c r="D903" s="9" t="n">
        <v>994</v>
      </c>
      <c r="E903" s="9" t="n">
        <v>2135</v>
      </c>
      <c r="F903" s="9" t="n">
        <v>22590</v>
      </c>
      <c r="G903" s="9" t="n">
        <v>23</v>
      </c>
      <c r="H903" s="9" t="n">
        <v>2204976.3</v>
      </c>
      <c r="I903" s="9" t="n">
        <v>11637</v>
      </c>
      <c r="J903" s="9" t="n">
        <v>555501</v>
      </c>
      <c r="K903" s="9" t="n">
        <v>424795</v>
      </c>
      <c r="L903" s="9" t="n">
        <v>1355</v>
      </c>
      <c r="M903" s="10" t="n">
        <f aca="false">IFERROR(D903/C903,0)</f>
        <v>0.290134267367192</v>
      </c>
      <c r="N903" s="10" t="n">
        <f aca="false">IFERROR(E903/C903,0)</f>
        <v>0.623175715119673</v>
      </c>
      <c r="O903" s="11" t="n">
        <f aca="false">IFERROR(F903/MAX(C903-D903,1),0)</f>
        <v>9.28865131578947</v>
      </c>
      <c r="P903" s="11" t="n">
        <f aca="false">IFERROR(F903/C903,0)</f>
        <v>6.59369527145359</v>
      </c>
      <c r="Q903" s="11" t="n">
        <f aca="false">IFERROR(H903/C903,0)</f>
        <v>643.600788091068</v>
      </c>
      <c r="R903" s="10" t="n">
        <f aca="false">IFERROR(I903/F903,0)</f>
        <v>0.515139442231076</v>
      </c>
      <c r="S903" s="10" t="n">
        <f aca="false">IFERROR(K903/J903,0)</f>
        <v>0.764706094138444</v>
      </c>
      <c r="T903" s="12" t="s">
        <v>30</v>
      </c>
    </row>
    <row r="904" customFormat="false" ht="15" hidden="false" customHeight="false" outlineLevel="0" collapsed="false">
      <c r="A904" s="9" t="s">
        <v>937</v>
      </c>
      <c r="B904" s="9" t="s">
        <v>26</v>
      </c>
      <c r="C904" s="9" t="n">
        <v>3976</v>
      </c>
      <c r="D904" s="9" t="n">
        <v>1700</v>
      </c>
      <c r="E904" s="9" t="n">
        <v>2764</v>
      </c>
      <c r="F904" s="9" t="n">
        <v>36544</v>
      </c>
      <c r="G904" s="9" t="n">
        <v>37</v>
      </c>
      <c r="H904" s="9" t="n">
        <v>4301492.4</v>
      </c>
      <c r="I904" s="9" t="n">
        <v>27933</v>
      </c>
      <c r="J904" s="9" t="n">
        <v>562842</v>
      </c>
      <c r="K904" s="9" t="n">
        <v>384534</v>
      </c>
      <c r="L904" s="9" t="n">
        <v>1928</v>
      </c>
      <c r="M904" s="10" t="n">
        <f aca="false">IFERROR(D904/C904,0)</f>
        <v>0.427565392354125</v>
      </c>
      <c r="N904" s="10" t="n">
        <f aca="false">IFERROR(E904/C904,0)</f>
        <v>0.695171026156942</v>
      </c>
      <c r="O904" s="11" t="n">
        <f aca="false">IFERROR(F904/MAX(C904-D904,1),0)</f>
        <v>16.0562390158172</v>
      </c>
      <c r="P904" s="11" t="n">
        <f aca="false">IFERROR(F904/C904,0)</f>
        <v>9.19114688128773</v>
      </c>
      <c r="Q904" s="11" t="n">
        <f aca="false">IFERROR(H904/C904,0)</f>
        <v>1081.86428571429</v>
      </c>
      <c r="R904" s="10" t="n">
        <f aca="false">IFERROR(I904/F904,0)</f>
        <v>0.764366243432574</v>
      </c>
      <c r="S904" s="10" t="n">
        <f aca="false">IFERROR(K904/J904,0)</f>
        <v>0.683200614026672</v>
      </c>
      <c r="T904" s="12" t="s">
        <v>30</v>
      </c>
    </row>
    <row r="905" customFormat="false" ht="15" hidden="false" customHeight="false" outlineLevel="0" collapsed="false">
      <c r="A905" s="3" t="s">
        <v>938</v>
      </c>
      <c r="B905" s="3" t="s">
        <v>29</v>
      </c>
      <c r="C905" s="3" t="n">
        <v>1939</v>
      </c>
      <c r="D905" s="3" t="n">
        <v>244</v>
      </c>
      <c r="E905" s="3" t="n">
        <v>728</v>
      </c>
      <c r="F905" s="3" t="n">
        <v>6338</v>
      </c>
      <c r="G905" s="3" t="n">
        <v>14</v>
      </c>
      <c r="H905" s="3" t="n">
        <v>1238356.9</v>
      </c>
      <c r="I905" s="3" t="n">
        <v>1227</v>
      </c>
      <c r="J905" s="3" t="n">
        <v>209031</v>
      </c>
      <c r="K905" s="3" t="n">
        <v>32937</v>
      </c>
      <c r="L905" s="3" t="n">
        <v>0</v>
      </c>
      <c r="M905" s="4" t="n">
        <f aca="false">IFERROR(D905/C905,0)</f>
        <v>0.125838060856111</v>
      </c>
      <c r="N905" s="4" t="n">
        <f aca="false">IFERROR(E905/C905,0)</f>
        <v>0.375451263537906</v>
      </c>
      <c r="O905" s="5" t="n">
        <f aca="false">IFERROR(F905/MAX(C905-D905,1),0)</f>
        <v>3.73923303834808</v>
      </c>
      <c r="P905" s="5" t="n">
        <f aca="false">IFERROR(F905/C905,0)</f>
        <v>3.26869520371325</v>
      </c>
      <c r="Q905" s="5" t="n">
        <f aca="false">IFERROR(H905/C905,0)</f>
        <v>638.657503867973</v>
      </c>
      <c r="R905" s="4" t="n">
        <f aca="false">IFERROR(I905/F905,0)</f>
        <v>0.193594193751972</v>
      </c>
      <c r="S905" s="4" t="n">
        <f aca="false">IFERROR(K905/J905,0)</f>
        <v>0.157569929819022</v>
      </c>
      <c r="T905" s="6" t="s">
        <v>23</v>
      </c>
    </row>
    <row r="906" customFormat="false" ht="15" hidden="false" customHeight="false" outlineLevel="0" collapsed="false">
      <c r="A906" s="3" t="s">
        <v>939</v>
      </c>
      <c r="B906" s="3" t="s">
        <v>26</v>
      </c>
      <c r="C906" s="3" t="n">
        <v>1094</v>
      </c>
      <c r="D906" s="3" t="n">
        <v>113</v>
      </c>
      <c r="E906" s="3" t="n">
        <v>289</v>
      </c>
      <c r="F906" s="3" t="n">
        <v>2571</v>
      </c>
      <c r="G906" s="3" t="n">
        <v>14</v>
      </c>
      <c r="H906" s="3" t="n">
        <v>505208.4</v>
      </c>
      <c r="I906" s="3" t="n">
        <v>706</v>
      </c>
      <c r="J906" s="3" t="n">
        <v>104870</v>
      </c>
      <c r="K906" s="3" t="n">
        <v>21528</v>
      </c>
      <c r="L906" s="3" t="n">
        <v>483</v>
      </c>
      <c r="M906" s="4" t="n">
        <f aca="false">IFERROR(D906/C906,0)</f>
        <v>0.103290676416819</v>
      </c>
      <c r="N906" s="4" t="n">
        <f aca="false">IFERROR(E906/C906,0)</f>
        <v>0.264168190127971</v>
      </c>
      <c r="O906" s="5" t="n">
        <f aca="false">IFERROR(F906/MAX(C906-D906,1),0)</f>
        <v>2.62079510703364</v>
      </c>
      <c r="P906" s="5" t="n">
        <f aca="false">IFERROR(F906/C906,0)</f>
        <v>2.35009140767825</v>
      </c>
      <c r="Q906" s="5" t="n">
        <f aca="false">IFERROR(H906/C906,0)</f>
        <v>461.799268738574</v>
      </c>
      <c r="R906" s="4" t="n">
        <f aca="false">IFERROR(I906/F906,0)</f>
        <v>0.274601322442629</v>
      </c>
      <c r="S906" s="4" t="n">
        <f aca="false">IFERROR(K906/J906,0)</f>
        <v>0.205282731000286</v>
      </c>
      <c r="T906" s="6" t="s">
        <v>23</v>
      </c>
    </row>
    <row r="907" customFormat="false" ht="15" hidden="false" customHeight="false" outlineLevel="0" collapsed="false">
      <c r="A907" s="3" t="s">
        <v>940</v>
      </c>
      <c r="B907" s="3" t="s">
        <v>29</v>
      </c>
      <c r="C907" s="3" t="n">
        <v>3803</v>
      </c>
      <c r="D907" s="3" t="n">
        <v>458</v>
      </c>
      <c r="E907" s="3" t="n">
        <v>1235</v>
      </c>
      <c r="F907" s="3" t="n">
        <v>14569</v>
      </c>
      <c r="G907" s="3" t="n">
        <v>18</v>
      </c>
      <c r="H907" s="3" t="n">
        <v>2425099.3</v>
      </c>
      <c r="I907" s="3" t="n">
        <v>2527</v>
      </c>
      <c r="J907" s="3" t="n">
        <v>483344</v>
      </c>
      <c r="K907" s="3" t="n">
        <v>115236</v>
      </c>
      <c r="L907" s="3" t="n">
        <v>0</v>
      </c>
      <c r="M907" s="4" t="n">
        <f aca="false">IFERROR(D907/C907,0)</f>
        <v>0.120431238495924</v>
      </c>
      <c r="N907" s="4" t="n">
        <f aca="false">IFERROR(E907/C907,0)</f>
        <v>0.324743623455167</v>
      </c>
      <c r="O907" s="5" t="n">
        <f aca="false">IFERROR(F907/MAX(C907-D907,1),0)</f>
        <v>4.35545590433483</v>
      </c>
      <c r="P907" s="5" t="n">
        <f aca="false">IFERROR(F907/C907,0)</f>
        <v>3.8309229555614</v>
      </c>
      <c r="Q907" s="5" t="n">
        <f aca="false">IFERROR(H907/C907,0)</f>
        <v>637.680594267683</v>
      </c>
      <c r="R907" s="4" t="n">
        <f aca="false">IFERROR(I907/F907,0)</f>
        <v>0.173450477040291</v>
      </c>
      <c r="S907" s="4" t="n">
        <f aca="false">IFERROR(K907/J907,0)</f>
        <v>0.238414048793406</v>
      </c>
      <c r="T907" s="6" t="s">
        <v>23</v>
      </c>
    </row>
    <row r="908" customFormat="false" ht="15" hidden="false" customHeight="false" outlineLevel="0" collapsed="false">
      <c r="A908" s="3" t="s">
        <v>941</v>
      </c>
      <c r="B908" s="3" t="s">
        <v>29</v>
      </c>
      <c r="C908" s="3" t="n">
        <v>1640</v>
      </c>
      <c r="D908" s="3" t="n">
        <v>116</v>
      </c>
      <c r="E908" s="3" t="n">
        <v>466</v>
      </c>
      <c r="F908" s="3" t="n">
        <v>4163</v>
      </c>
      <c r="G908" s="3" t="n">
        <v>12</v>
      </c>
      <c r="H908" s="3" t="n">
        <v>883304.1</v>
      </c>
      <c r="I908" s="3" t="n">
        <v>838</v>
      </c>
      <c r="J908" s="3" t="n">
        <v>165690</v>
      </c>
      <c r="K908" s="3" t="n">
        <v>33668</v>
      </c>
      <c r="L908" s="3" t="n">
        <v>0</v>
      </c>
      <c r="M908" s="4" t="n">
        <f aca="false">IFERROR(D908/C908,0)</f>
        <v>0.0707317073170732</v>
      </c>
      <c r="N908" s="4" t="n">
        <f aca="false">IFERROR(E908/C908,0)</f>
        <v>0.284146341463415</v>
      </c>
      <c r="O908" s="5" t="n">
        <f aca="false">IFERROR(F908/MAX(C908-D908,1),0)</f>
        <v>2.73162729658793</v>
      </c>
      <c r="P908" s="5" t="n">
        <f aca="false">IFERROR(F908/C908,0)</f>
        <v>2.53841463414634</v>
      </c>
      <c r="Q908" s="5" t="n">
        <f aca="false">IFERROR(H908/C908,0)</f>
        <v>538.60006097561</v>
      </c>
      <c r="R908" s="4" t="n">
        <f aca="false">IFERROR(I908/F908,0)</f>
        <v>0.201297141484506</v>
      </c>
      <c r="S908" s="4" t="n">
        <f aca="false">IFERROR(K908/J908,0)</f>
        <v>0.203198744643612</v>
      </c>
      <c r="T908" s="6" t="s">
        <v>23</v>
      </c>
    </row>
    <row r="909" customFormat="false" ht="15" hidden="false" customHeight="false" outlineLevel="0" collapsed="false">
      <c r="A909" s="3" t="s">
        <v>942</v>
      </c>
      <c r="B909" s="3" t="s">
        <v>26</v>
      </c>
      <c r="C909" s="3" t="n">
        <v>3473</v>
      </c>
      <c r="D909" s="3" t="n">
        <v>444</v>
      </c>
      <c r="E909" s="3" t="n">
        <v>1239</v>
      </c>
      <c r="F909" s="3" t="n">
        <v>13089</v>
      </c>
      <c r="G909" s="3" t="n">
        <v>13</v>
      </c>
      <c r="H909" s="3" t="n">
        <v>2115785.7</v>
      </c>
      <c r="I909" s="3" t="n">
        <v>3215</v>
      </c>
      <c r="J909" s="3" t="n">
        <v>424469</v>
      </c>
      <c r="K909" s="3" t="n">
        <v>79315</v>
      </c>
      <c r="L909" s="3" t="n">
        <v>862</v>
      </c>
      <c r="M909" s="4" t="n">
        <f aca="false">IFERROR(D909/C909,0)</f>
        <v>0.127843363086669</v>
      </c>
      <c r="N909" s="4" t="n">
        <f aca="false">IFERROR(E909/C909,0)</f>
        <v>0.356752087532393</v>
      </c>
      <c r="O909" s="5" t="n">
        <f aca="false">IFERROR(F909/MAX(C909-D909,1),0)</f>
        <v>4.32122812809508</v>
      </c>
      <c r="P909" s="5" t="n">
        <f aca="false">IFERROR(F909/C909,0)</f>
        <v>3.7687877915347</v>
      </c>
      <c r="Q909" s="5" t="n">
        <f aca="false">IFERROR(H909/C909,0)</f>
        <v>609.209818600634</v>
      </c>
      <c r="R909" s="4" t="n">
        <f aca="false">IFERROR(I909/F909,0)</f>
        <v>0.245626098250439</v>
      </c>
      <c r="S909" s="4" t="n">
        <f aca="false">IFERROR(K909/J909,0)</f>
        <v>0.186856990734306</v>
      </c>
      <c r="T909" s="6" t="s">
        <v>23</v>
      </c>
    </row>
    <row r="910" customFormat="false" ht="15" hidden="false" customHeight="false" outlineLevel="0" collapsed="false">
      <c r="A910" s="9" t="s">
        <v>943</v>
      </c>
      <c r="B910" s="9" t="s">
        <v>22</v>
      </c>
      <c r="C910" s="9" t="n">
        <v>1142</v>
      </c>
      <c r="D910" s="9" t="n">
        <v>464</v>
      </c>
      <c r="E910" s="9" t="n">
        <v>818</v>
      </c>
      <c r="F910" s="9" t="n">
        <v>7775</v>
      </c>
      <c r="G910" s="9" t="n">
        <v>26</v>
      </c>
      <c r="H910" s="9" t="n">
        <v>1243266.8</v>
      </c>
      <c r="I910" s="9" t="n">
        <v>6245</v>
      </c>
      <c r="J910" s="9" t="n">
        <v>91452</v>
      </c>
      <c r="K910" s="9" t="n">
        <v>54598</v>
      </c>
      <c r="L910" s="9" t="n">
        <v>407</v>
      </c>
      <c r="M910" s="10" t="n">
        <f aca="false">IFERROR(D910/C910,0)</f>
        <v>0.40630472854641</v>
      </c>
      <c r="N910" s="10" t="n">
        <f aca="false">IFERROR(E910/C910,0)</f>
        <v>0.716287215411559</v>
      </c>
      <c r="O910" s="11" t="n">
        <f aca="false">IFERROR(F910/MAX(C910-D910,1),0)</f>
        <v>11.4675516224189</v>
      </c>
      <c r="P910" s="11" t="n">
        <f aca="false">IFERROR(F910/C910,0)</f>
        <v>6.80823117338004</v>
      </c>
      <c r="Q910" s="11" t="n">
        <f aca="false">IFERROR(H910/C910,0)</f>
        <v>1088.67495621716</v>
      </c>
      <c r="R910" s="10" t="n">
        <f aca="false">IFERROR(I910/F910,0)</f>
        <v>0.803215434083601</v>
      </c>
      <c r="S910" s="10" t="n">
        <f aca="false">IFERROR(K910/J910,0)</f>
        <v>0.597012640510869</v>
      </c>
      <c r="T910" s="12" t="s">
        <v>30</v>
      </c>
    </row>
    <row r="911" customFormat="false" ht="15" hidden="false" customHeight="false" outlineLevel="0" collapsed="false">
      <c r="A911" s="3" t="s">
        <v>944</v>
      </c>
      <c r="B911" s="3" t="s">
        <v>22</v>
      </c>
      <c r="C911" s="3" t="n">
        <v>2184</v>
      </c>
      <c r="D911" s="3" t="n">
        <v>124</v>
      </c>
      <c r="E911" s="3" t="n">
        <v>553</v>
      </c>
      <c r="F911" s="3" t="n">
        <v>4749</v>
      </c>
      <c r="G911" s="3" t="n">
        <v>9</v>
      </c>
      <c r="H911" s="3" t="n">
        <v>952494.4</v>
      </c>
      <c r="I911" s="3" t="n">
        <v>676</v>
      </c>
      <c r="J911" s="3" t="n">
        <v>165729</v>
      </c>
      <c r="K911" s="3" t="n">
        <v>24113</v>
      </c>
      <c r="L911" s="3" t="n">
        <v>350</v>
      </c>
      <c r="M911" s="4" t="n">
        <f aca="false">IFERROR(D911/C911,0)</f>
        <v>0.0567765567765568</v>
      </c>
      <c r="N911" s="4" t="n">
        <f aca="false">IFERROR(E911/C911,0)</f>
        <v>0.253205128205128</v>
      </c>
      <c r="O911" s="5" t="n">
        <f aca="false">IFERROR(F911/MAX(C911-D911,1),0)</f>
        <v>2.30533980582524</v>
      </c>
      <c r="P911" s="5" t="n">
        <f aca="false">IFERROR(F911/C911,0)</f>
        <v>2.17445054945055</v>
      </c>
      <c r="Q911" s="5" t="n">
        <f aca="false">IFERROR(H911/C911,0)</f>
        <v>436.12380952381</v>
      </c>
      <c r="R911" s="4" t="n">
        <f aca="false">IFERROR(I911/F911,0)</f>
        <v>0.142345757001474</v>
      </c>
      <c r="S911" s="4" t="n">
        <f aca="false">IFERROR(K911/J911,0)</f>
        <v>0.145496563667192</v>
      </c>
      <c r="T911" s="6" t="s">
        <v>23</v>
      </c>
    </row>
    <row r="912" customFormat="false" ht="15" hidden="false" customHeight="false" outlineLevel="0" collapsed="false">
      <c r="A912" s="3" t="s">
        <v>945</v>
      </c>
      <c r="B912" s="3" t="s">
        <v>22</v>
      </c>
      <c r="C912" s="3" t="n">
        <v>1046</v>
      </c>
      <c r="D912" s="3" t="n">
        <v>89</v>
      </c>
      <c r="E912" s="3" t="n">
        <v>272</v>
      </c>
      <c r="F912" s="3" t="n">
        <v>2690</v>
      </c>
      <c r="G912" s="3" t="n">
        <v>10</v>
      </c>
      <c r="H912" s="3" t="n">
        <v>261018.7</v>
      </c>
      <c r="I912" s="3" t="n">
        <v>505</v>
      </c>
      <c r="J912" s="3" t="n">
        <v>177893</v>
      </c>
      <c r="K912" s="3" t="n">
        <v>25231</v>
      </c>
      <c r="L912" s="3" t="n">
        <v>316</v>
      </c>
      <c r="M912" s="4" t="n">
        <f aca="false">IFERROR(D912/C912,0)</f>
        <v>0.0850860420650096</v>
      </c>
      <c r="N912" s="4" t="n">
        <f aca="false">IFERROR(E912/C912,0)</f>
        <v>0.260038240917782</v>
      </c>
      <c r="O912" s="5" t="n">
        <f aca="false">IFERROR(F912/MAX(C912-D912,1),0)</f>
        <v>2.81086729362591</v>
      </c>
      <c r="P912" s="5" t="n">
        <f aca="false">IFERROR(F912/C912,0)</f>
        <v>2.5717017208413</v>
      </c>
      <c r="Q912" s="5" t="n">
        <f aca="false">IFERROR(H912/C912,0)</f>
        <v>249.539866156788</v>
      </c>
      <c r="R912" s="4" t="n">
        <f aca="false">IFERROR(I912/F912,0)</f>
        <v>0.187732342007435</v>
      </c>
      <c r="S912" s="4" t="n">
        <f aca="false">IFERROR(K912/J912,0)</f>
        <v>0.141832449843445</v>
      </c>
      <c r="T912" s="6" t="s">
        <v>23</v>
      </c>
    </row>
    <row r="913" customFormat="false" ht="15" hidden="false" customHeight="false" outlineLevel="0" collapsed="false">
      <c r="A913" s="3" t="s">
        <v>946</v>
      </c>
      <c r="B913" s="3" t="s">
        <v>22</v>
      </c>
      <c r="C913" s="3" t="n">
        <v>2172</v>
      </c>
      <c r="D913" s="3" t="n">
        <v>454</v>
      </c>
      <c r="E913" s="3" t="n">
        <v>878</v>
      </c>
      <c r="F913" s="3" t="n">
        <v>6802</v>
      </c>
      <c r="G913" s="3" t="n">
        <v>11</v>
      </c>
      <c r="H913" s="3" t="n">
        <v>1271694.4</v>
      </c>
      <c r="I913" s="3" t="n">
        <v>1328</v>
      </c>
      <c r="J913" s="3" t="n">
        <v>165669</v>
      </c>
      <c r="K913" s="3" t="n">
        <v>40869</v>
      </c>
      <c r="L913" s="3" t="n">
        <v>966</v>
      </c>
      <c r="M913" s="4" t="n">
        <f aca="false">IFERROR(D913/C913,0)</f>
        <v>0.20902394106814</v>
      </c>
      <c r="N913" s="4" t="n">
        <f aca="false">IFERROR(E913/C913,0)</f>
        <v>0.404235727440147</v>
      </c>
      <c r="O913" s="5" t="n">
        <f aca="false">IFERROR(F913/MAX(C913-D913,1),0)</f>
        <v>3.9592549476135</v>
      </c>
      <c r="P913" s="5" t="n">
        <f aca="false">IFERROR(F913/C913,0)</f>
        <v>3.1316758747698</v>
      </c>
      <c r="Q913" s="5" t="n">
        <f aca="false">IFERROR(H913/C913,0)</f>
        <v>585.494659300184</v>
      </c>
      <c r="R913" s="4" t="n">
        <f aca="false">IFERROR(I913/F913,0)</f>
        <v>0.19523669508968</v>
      </c>
      <c r="S913" s="4" t="n">
        <f aca="false">IFERROR(K913/J913,0)</f>
        <v>0.246690690473172</v>
      </c>
      <c r="T913" s="6" t="s">
        <v>23</v>
      </c>
    </row>
    <row r="914" customFormat="false" ht="15" hidden="false" customHeight="false" outlineLevel="0" collapsed="false">
      <c r="A914" s="9" t="s">
        <v>947</v>
      </c>
      <c r="B914" s="9" t="s">
        <v>29</v>
      </c>
      <c r="C914" s="9" t="n">
        <v>2164</v>
      </c>
      <c r="D914" s="9" t="n">
        <v>405</v>
      </c>
      <c r="E914" s="9" t="n">
        <v>1026</v>
      </c>
      <c r="F914" s="9" t="n">
        <v>16315</v>
      </c>
      <c r="G914" s="9" t="n">
        <v>27</v>
      </c>
      <c r="H914" s="9" t="n">
        <v>1608585.3</v>
      </c>
      <c r="I914" s="9" t="n">
        <v>5899</v>
      </c>
      <c r="J914" s="9" t="n">
        <v>361287</v>
      </c>
      <c r="K914" s="9" t="n">
        <v>293395</v>
      </c>
      <c r="L914" s="9" t="n">
        <v>0</v>
      </c>
      <c r="M914" s="10" t="n">
        <f aca="false">IFERROR(D914/C914,0)</f>
        <v>0.187153419593346</v>
      </c>
      <c r="N914" s="10" t="n">
        <f aca="false">IFERROR(E914/C914,0)</f>
        <v>0.474121996303142</v>
      </c>
      <c r="O914" s="11" t="n">
        <f aca="false">IFERROR(F914/MAX(C914-D914,1),0)</f>
        <v>9.27515633882888</v>
      </c>
      <c r="P914" s="11" t="n">
        <f aca="false">IFERROR(F914/C914,0)</f>
        <v>7.53927911275416</v>
      </c>
      <c r="Q914" s="11" t="n">
        <f aca="false">IFERROR(H914/C914,0)</f>
        <v>743.338863216266</v>
      </c>
      <c r="R914" s="10" t="n">
        <f aca="false">IFERROR(I914/F914,0)</f>
        <v>0.361569108182654</v>
      </c>
      <c r="S914" s="10" t="n">
        <f aca="false">IFERROR(K914/J914,0)</f>
        <v>0.812082914691091</v>
      </c>
      <c r="T914" s="12" t="s">
        <v>30</v>
      </c>
    </row>
    <row r="915" customFormat="false" ht="15" hidden="false" customHeight="false" outlineLevel="0" collapsed="false">
      <c r="A915" s="3" t="s">
        <v>948</v>
      </c>
      <c r="B915" s="3" t="s">
        <v>29</v>
      </c>
      <c r="C915" s="3" t="n">
        <v>2702</v>
      </c>
      <c r="D915" s="3" t="n">
        <v>250</v>
      </c>
      <c r="E915" s="3" t="n">
        <v>781</v>
      </c>
      <c r="F915" s="3" t="n">
        <v>5355</v>
      </c>
      <c r="G915" s="3" t="n">
        <v>12</v>
      </c>
      <c r="H915" s="3" t="n">
        <v>946643.6</v>
      </c>
      <c r="I915" s="3" t="n">
        <v>942</v>
      </c>
      <c r="J915" s="3" t="n">
        <v>415190</v>
      </c>
      <c r="K915" s="3" t="n">
        <v>95697</v>
      </c>
      <c r="L915" s="3" t="n">
        <v>0</v>
      </c>
      <c r="M915" s="4" t="n">
        <f aca="false">IFERROR(D915/C915,0)</f>
        <v>0.0925240562546262</v>
      </c>
      <c r="N915" s="4" t="n">
        <f aca="false">IFERROR(E915/C915,0)</f>
        <v>0.289045151739452</v>
      </c>
      <c r="O915" s="5" t="n">
        <f aca="false">IFERROR(F915/MAX(C915-D915,1),0)</f>
        <v>2.18393148450245</v>
      </c>
      <c r="P915" s="5" t="n">
        <f aca="false">IFERROR(F915/C915,0)</f>
        <v>1.98186528497409</v>
      </c>
      <c r="Q915" s="5" t="n">
        <f aca="false">IFERROR(H915/C915,0)</f>
        <v>350.349222797927</v>
      </c>
      <c r="R915" s="4" t="n">
        <f aca="false">IFERROR(I915/F915,0)</f>
        <v>0.175910364145658</v>
      </c>
      <c r="S915" s="4" t="n">
        <f aca="false">IFERROR(K915/J915,0)</f>
        <v>0.23048965533852</v>
      </c>
      <c r="T915" s="6" t="s">
        <v>23</v>
      </c>
    </row>
    <row r="916" customFormat="false" ht="15" hidden="false" customHeight="false" outlineLevel="0" collapsed="false">
      <c r="A916" s="3" t="s">
        <v>949</v>
      </c>
      <c r="B916" s="3" t="s">
        <v>29</v>
      </c>
      <c r="C916" s="3" t="n">
        <v>3941</v>
      </c>
      <c r="D916" s="3" t="n">
        <v>664</v>
      </c>
      <c r="E916" s="3" t="n">
        <v>1583</v>
      </c>
      <c r="F916" s="3" t="n">
        <v>13915</v>
      </c>
      <c r="G916" s="3" t="n">
        <v>15</v>
      </c>
      <c r="H916" s="3" t="n">
        <v>2399228.2</v>
      </c>
      <c r="I916" s="3" t="n">
        <v>3305</v>
      </c>
      <c r="J916" s="3" t="n">
        <v>310251</v>
      </c>
      <c r="K916" s="3" t="n">
        <v>84793</v>
      </c>
      <c r="L916" s="3" t="n">
        <v>0</v>
      </c>
      <c r="M916" s="4" t="n">
        <f aca="false">IFERROR(D916/C916,0)</f>
        <v>0.168485156051764</v>
      </c>
      <c r="N916" s="4" t="n">
        <f aca="false">IFERROR(E916/C916,0)</f>
        <v>0.401674701852322</v>
      </c>
      <c r="O916" s="5" t="n">
        <f aca="false">IFERROR(F916/MAX(C916-D916,1),0)</f>
        <v>4.24626182483979</v>
      </c>
      <c r="P916" s="5" t="n">
        <f aca="false">IFERROR(F916/C916,0)</f>
        <v>3.53082973864501</v>
      </c>
      <c r="Q916" s="5" t="n">
        <f aca="false">IFERROR(H916/C916,0)</f>
        <v>608.786653133722</v>
      </c>
      <c r="R916" s="4" t="n">
        <f aca="false">IFERROR(I916/F916,0)</f>
        <v>0.237513474667625</v>
      </c>
      <c r="S916" s="4" t="n">
        <f aca="false">IFERROR(K916/J916,0)</f>
        <v>0.273304517954817</v>
      </c>
      <c r="T916" s="6" t="s">
        <v>23</v>
      </c>
    </row>
    <row r="917" customFormat="false" ht="15" hidden="false" customHeight="false" outlineLevel="0" collapsed="false">
      <c r="A917" s="9" t="s">
        <v>950</v>
      </c>
      <c r="B917" s="9" t="s">
        <v>22</v>
      </c>
      <c r="C917" s="9" t="n">
        <v>2903</v>
      </c>
      <c r="D917" s="9" t="n">
        <v>294</v>
      </c>
      <c r="E917" s="9" t="n">
        <v>1251</v>
      </c>
      <c r="F917" s="9" t="n">
        <v>22939</v>
      </c>
      <c r="G917" s="9" t="n">
        <v>25</v>
      </c>
      <c r="H917" s="9" t="n">
        <v>1768547.1</v>
      </c>
      <c r="I917" s="9" t="n">
        <v>14277</v>
      </c>
      <c r="J917" s="9" t="n">
        <v>249018</v>
      </c>
      <c r="K917" s="9" t="n">
        <v>144175</v>
      </c>
      <c r="L917" s="9" t="n">
        <v>534</v>
      </c>
      <c r="M917" s="10" t="n">
        <f aca="false">IFERROR(D917/C917,0)</f>
        <v>0.101274543575611</v>
      </c>
      <c r="N917" s="10" t="n">
        <f aca="false">IFERROR(E917/C917,0)</f>
        <v>0.430933517051326</v>
      </c>
      <c r="O917" s="11" t="n">
        <f aca="false">IFERROR(F917/MAX(C917-D917,1),0)</f>
        <v>8.79225756995017</v>
      </c>
      <c r="P917" s="11" t="n">
        <f aca="false">IFERROR(F917/C917,0)</f>
        <v>7.90182569755425</v>
      </c>
      <c r="Q917" s="11" t="n">
        <f aca="false">IFERROR(H917/C917,0)</f>
        <v>609.213606613848</v>
      </c>
      <c r="R917" s="10" t="n">
        <f aca="false">IFERROR(I917/F917,0)</f>
        <v>0.622389816469768</v>
      </c>
      <c r="S917" s="10" t="n">
        <f aca="false">IFERROR(K917/J917,0)</f>
        <v>0.578974210699628</v>
      </c>
      <c r="T917" s="12" t="s">
        <v>30</v>
      </c>
    </row>
    <row r="918" customFormat="false" ht="15" hidden="false" customHeight="false" outlineLevel="0" collapsed="false">
      <c r="A918" s="3" t="s">
        <v>951</v>
      </c>
      <c r="B918" s="3" t="s">
        <v>26</v>
      </c>
      <c r="C918" s="3" t="n">
        <v>847</v>
      </c>
      <c r="D918" s="3" t="n">
        <v>106</v>
      </c>
      <c r="E918" s="3" t="n">
        <v>397</v>
      </c>
      <c r="F918" s="3" t="n">
        <v>2566</v>
      </c>
      <c r="G918" s="3" t="n">
        <v>14</v>
      </c>
      <c r="H918" s="3" t="n">
        <v>473351.2</v>
      </c>
      <c r="I918" s="3" t="n">
        <v>497</v>
      </c>
      <c r="J918" s="3" t="n">
        <v>89447</v>
      </c>
      <c r="K918" s="3" t="n">
        <v>18255</v>
      </c>
      <c r="L918" s="3" t="n">
        <v>179</v>
      </c>
      <c r="M918" s="4" t="n">
        <f aca="false">IFERROR(D918/C918,0)</f>
        <v>0.125147579693034</v>
      </c>
      <c r="N918" s="4" t="n">
        <f aca="false">IFERROR(E918/C918,0)</f>
        <v>0.468713105076741</v>
      </c>
      <c r="O918" s="5" t="n">
        <f aca="false">IFERROR(F918/MAX(C918-D918,1),0)</f>
        <v>3.46288798920378</v>
      </c>
      <c r="P918" s="5" t="n">
        <f aca="false">IFERROR(F918/C918,0)</f>
        <v>3.02951593860685</v>
      </c>
      <c r="Q918" s="5" t="n">
        <f aca="false">IFERROR(H918/C918,0)</f>
        <v>558.856198347108</v>
      </c>
      <c r="R918" s="4" t="n">
        <f aca="false">IFERROR(I918/F918,0)</f>
        <v>0.193686671862822</v>
      </c>
      <c r="S918" s="4" t="n">
        <f aca="false">IFERROR(K918/J918,0)</f>
        <v>0.204087336635102</v>
      </c>
      <c r="T918" s="6" t="s">
        <v>23</v>
      </c>
    </row>
    <row r="919" customFormat="false" ht="15" hidden="false" customHeight="false" outlineLevel="0" collapsed="false">
      <c r="A919" s="3" t="s">
        <v>952</v>
      </c>
      <c r="B919" s="3" t="s">
        <v>29</v>
      </c>
      <c r="C919" s="3" t="n">
        <v>1088</v>
      </c>
      <c r="D919" s="3" t="n">
        <v>44</v>
      </c>
      <c r="E919" s="3" t="n">
        <v>398</v>
      </c>
      <c r="F919" s="3" t="n">
        <v>2580</v>
      </c>
      <c r="G919" s="3" t="n">
        <v>8</v>
      </c>
      <c r="H919" s="3" t="n">
        <v>247712.3</v>
      </c>
      <c r="I919" s="3" t="n">
        <v>313</v>
      </c>
      <c r="J919" s="3" t="n">
        <v>103277</v>
      </c>
      <c r="K919" s="3" t="n">
        <v>19252</v>
      </c>
      <c r="L919" s="3" t="n">
        <v>0</v>
      </c>
      <c r="M919" s="4" t="n">
        <f aca="false">IFERROR(D919/C919,0)</f>
        <v>0.0404411764705882</v>
      </c>
      <c r="N919" s="4" t="n">
        <f aca="false">IFERROR(E919/C919,0)</f>
        <v>0.365808823529412</v>
      </c>
      <c r="O919" s="5" t="n">
        <f aca="false">IFERROR(F919/MAX(C919-D919,1),0)</f>
        <v>2.47126436781609</v>
      </c>
      <c r="P919" s="5" t="n">
        <f aca="false">IFERROR(F919/C919,0)</f>
        <v>2.37132352941176</v>
      </c>
      <c r="Q919" s="5" t="n">
        <f aca="false">IFERROR(H919/C919,0)</f>
        <v>227.676746323529</v>
      </c>
      <c r="R919" s="4" t="n">
        <f aca="false">IFERROR(I919/F919,0)</f>
        <v>0.121317829457364</v>
      </c>
      <c r="S919" s="4" t="n">
        <f aca="false">IFERROR(K919/J919,0)</f>
        <v>0.18641130164509</v>
      </c>
      <c r="T919" s="6" t="s">
        <v>23</v>
      </c>
    </row>
    <row r="920" customFormat="false" ht="15" hidden="false" customHeight="false" outlineLevel="0" collapsed="false">
      <c r="A920" s="9" t="s">
        <v>953</v>
      </c>
      <c r="B920" s="9" t="s">
        <v>22</v>
      </c>
      <c r="C920" s="9" t="n">
        <v>1521</v>
      </c>
      <c r="D920" s="9" t="n">
        <v>533</v>
      </c>
      <c r="E920" s="9" t="n">
        <v>1044</v>
      </c>
      <c r="F920" s="9" t="n">
        <v>10433</v>
      </c>
      <c r="G920" s="9" t="n">
        <v>28</v>
      </c>
      <c r="H920" s="9" t="n">
        <v>2022357.3</v>
      </c>
      <c r="I920" s="9" t="n">
        <v>8456</v>
      </c>
      <c r="J920" s="9" t="n">
        <v>155039</v>
      </c>
      <c r="K920" s="9" t="n">
        <v>54264</v>
      </c>
      <c r="L920" s="9" t="n">
        <v>364</v>
      </c>
      <c r="M920" s="10" t="n">
        <f aca="false">IFERROR(D920/C920,0)</f>
        <v>0.35042735042735</v>
      </c>
      <c r="N920" s="10" t="n">
        <f aca="false">IFERROR(E920/C920,0)</f>
        <v>0.686390532544379</v>
      </c>
      <c r="O920" s="11" t="n">
        <f aca="false">IFERROR(F920/MAX(C920-D920,1),0)</f>
        <v>10.5597165991903</v>
      </c>
      <c r="P920" s="11" t="n">
        <f aca="false">IFERROR(F920/C920,0)</f>
        <v>6.85930309007232</v>
      </c>
      <c r="Q920" s="11" t="n">
        <f aca="false">IFERROR(H920/C920,0)</f>
        <v>1329.62347140039</v>
      </c>
      <c r="R920" s="10" t="n">
        <f aca="false">IFERROR(I920/F920,0)</f>
        <v>0.81050512795936</v>
      </c>
      <c r="S920" s="10" t="n">
        <f aca="false">IFERROR(K920/J920,0)</f>
        <v>0.350002257496501</v>
      </c>
      <c r="T920" s="12" t="s">
        <v>30</v>
      </c>
    </row>
    <row r="921" customFormat="false" ht="15" hidden="false" customHeight="false" outlineLevel="0" collapsed="false">
      <c r="A921" s="3" t="s">
        <v>954</v>
      </c>
      <c r="B921" s="3" t="s">
        <v>29</v>
      </c>
      <c r="C921" s="3" t="n">
        <v>1749</v>
      </c>
      <c r="D921" s="3" t="n">
        <v>111</v>
      </c>
      <c r="E921" s="3" t="n">
        <v>586</v>
      </c>
      <c r="F921" s="3" t="n">
        <v>1301</v>
      </c>
      <c r="G921" s="3" t="n">
        <v>5</v>
      </c>
      <c r="H921" s="3" t="n">
        <v>372533.9</v>
      </c>
      <c r="I921" s="3" t="n">
        <v>198</v>
      </c>
      <c r="J921" s="3" t="n">
        <v>133482</v>
      </c>
      <c r="K921" s="3" t="n">
        <v>29052</v>
      </c>
      <c r="L921" s="3" t="n">
        <v>0</v>
      </c>
      <c r="M921" s="4" t="n">
        <f aca="false">IFERROR(D921/C921,0)</f>
        <v>0.0634648370497427</v>
      </c>
      <c r="N921" s="4" t="n">
        <f aca="false">IFERROR(E921/C921,0)</f>
        <v>0.335048599199543</v>
      </c>
      <c r="O921" s="5" t="n">
        <f aca="false">IFERROR(F921/MAX(C921-D921,1),0)</f>
        <v>0.794261294261294</v>
      </c>
      <c r="P921" s="5" t="n">
        <f aca="false">IFERROR(F921/C921,0)</f>
        <v>0.743853630646084</v>
      </c>
      <c r="Q921" s="5" t="n">
        <f aca="false">IFERROR(H921/C921,0)</f>
        <v>212.998227558605</v>
      </c>
      <c r="R921" s="4" t="n">
        <f aca="false">IFERROR(I921/F921,0)</f>
        <v>0.152190622598002</v>
      </c>
      <c r="S921" s="4" t="n">
        <f aca="false">IFERROR(K921/J921,0)</f>
        <v>0.217647323234593</v>
      </c>
      <c r="T921" s="6" t="s">
        <v>23</v>
      </c>
    </row>
    <row r="922" customFormat="false" ht="15" hidden="false" customHeight="false" outlineLevel="0" collapsed="false">
      <c r="A922" s="3" t="s">
        <v>955</v>
      </c>
      <c r="B922" s="3" t="s">
        <v>22</v>
      </c>
      <c r="C922" s="3" t="n">
        <v>2053</v>
      </c>
      <c r="D922" s="3" t="n">
        <v>199</v>
      </c>
      <c r="E922" s="3" t="n">
        <v>814</v>
      </c>
      <c r="F922" s="3" t="n">
        <v>4704</v>
      </c>
      <c r="G922" s="3" t="n">
        <v>9</v>
      </c>
      <c r="H922" s="3" t="n">
        <v>1203025.7</v>
      </c>
      <c r="I922" s="3" t="n">
        <v>1105</v>
      </c>
      <c r="J922" s="3" t="n">
        <v>311229</v>
      </c>
      <c r="K922" s="3" t="n">
        <v>66190</v>
      </c>
      <c r="L922" s="3" t="n">
        <v>353</v>
      </c>
      <c r="M922" s="4" t="n">
        <f aca="false">IFERROR(D922/C922,0)</f>
        <v>0.0969313200194837</v>
      </c>
      <c r="N922" s="4" t="n">
        <f aca="false">IFERROR(E922/C922,0)</f>
        <v>0.396492937165124</v>
      </c>
      <c r="O922" s="5" t="n">
        <f aca="false">IFERROR(F922/MAX(C922-D922,1),0)</f>
        <v>2.53721682847896</v>
      </c>
      <c r="P922" s="5" t="n">
        <f aca="false">IFERROR(F922/C922,0)</f>
        <v>2.29128105211885</v>
      </c>
      <c r="Q922" s="5" t="n">
        <f aca="false">IFERROR(H922/C922,0)</f>
        <v>585.984266926449</v>
      </c>
      <c r="R922" s="4" t="n">
        <f aca="false">IFERROR(I922/F922,0)</f>
        <v>0.234906462585034</v>
      </c>
      <c r="S922" s="4" t="n">
        <f aca="false">IFERROR(K922/J922,0)</f>
        <v>0.21267298355873</v>
      </c>
      <c r="T922" s="6" t="s">
        <v>23</v>
      </c>
    </row>
    <row r="923" customFormat="false" ht="15" hidden="false" customHeight="false" outlineLevel="0" collapsed="false">
      <c r="A923" s="9" t="s">
        <v>956</v>
      </c>
      <c r="B923" s="9" t="s">
        <v>22</v>
      </c>
      <c r="C923" s="9" t="n">
        <v>256</v>
      </c>
      <c r="D923" s="9" t="n">
        <v>34</v>
      </c>
      <c r="E923" s="9" t="n">
        <v>75</v>
      </c>
      <c r="F923" s="9" t="n">
        <v>790</v>
      </c>
      <c r="G923" s="9" t="n">
        <v>10</v>
      </c>
      <c r="H923" s="9" t="n">
        <v>125920.7</v>
      </c>
      <c r="I923" s="9" t="n">
        <v>508</v>
      </c>
      <c r="J923" s="9" t="n">
        <v>28011</v>
      </c>
      <c r="K923" s="9" t="n">
        <v>16828</v>
      </c>
      <c r="L923" s="9" t="n">
        <v>34</v>
      </c>
      <c r="M923" s="10" t="n">
        <f aca="false">IFERROR(D923/C923,0)</f>
        <v>0.1328125</v>
      </c>
      <c r="N923" s="10" t="n">
        <f aca="false">IFERROR(E923/C923,0)</f>
        <v>0.29296875</v>
      </c>
      <c r="O923" s="11" t="n">
        <f aca="false">IFERROR(F923/MAX(C923-D923,1),0)</f>
        <v>3.55855855855856</v>
      </c>
      <c r="P923" s="11" t="n">
        <f aca="false">IFERROR(F923/C923,0)</f>
        <v>3.0859375</v>
      </c>
      <c r="Q923" s="11" t="n">
        <f aca="false">IFERROR(H923/C923,0)</f>
        <v>491.877734375</v>
      </c>
      <c r="R923" s="10" t="n">
        <f aca="false">IFERROR(I923/F923,0)</f>
        <v>0.643037974683544</v>
      </c>
      <c r="S923" s="10" t="n">
        <f aca="false">IFERROR(K923/J923,0)</f>
        <v>0.600763985577095</v>
      </c>
      <c r="T923" s="12" t="s">
        <v>30</v>
      </c>
    </row>
    <row r="924" customFormat="false" ht="15" hidden="false" customHeight="false" outlineLevel="0" collapsed="false">
      <c r="A924" s="3" t="s">
        <v>957</v>
      </c>
      <c r="B924" s="3" t="s">
        <v>26</v>
      </c>
      <c r="C924" s="3" t="n">
        <v>648</v>
      </c>
      <c r="D924" s="3" t="n">
        <v>63</v>
      </c>
      <c r="E924" s="3" t="n">
        <v>168</v>
      </c>
      <c r="F924" s="3" t="n">
        <v>1664</v>
      </c>
      <c r="G924" s="3" t="n">
        <v>12</v>
      </c>
      <c r="H924" s="3" t="n">
        <v>309918.5</v>
      </c>
      <c r="I924" s="3" t="n">
        <v>334</v>
      </c>
      <c r="J924" s="3" t="n">
        <v>122093</v>
      </c>
      <c r="K924" s="3" t="n">
        <v>27473</v>
      </c>
      <c r="L924" s="3" t="n">
        <v>201</v>
      </c>
      <c r="M924" s="4" t="n">
        <f aca="false">IFERROR(D924/C924,0)</f>
        <v>0.0972222222222222</v>
      </c>
      <c r="N924" s="4" t="n">
        <f aca="false">IFERROR(E924/C924,0)</f>
        <v>0.259259259259259</v>
      </c>
      <c r="O924" s="5" t="n">
        <f aca="false">IFERROR(F924/MAX(C924-D924,1),0)</f>
        <v>2.84444444444444</v>
      </c>
      <c r="P924" s="5" t="n">
        <f aca="false">IFERROR(F924/C924,0)</f>
        <v>2.5679012345679</v>
      </c>
      <c r="Q924" s="5" t="n">
        <f aca="false">IFERROR(H924/C924,0)</f>
        <v>478.269290123457</v>
      </c>
      <c r="R924" s="4" t="n">
        <f aca="false">IFERROR(I924/F924,0)</f>
        <v>0.200721153846154</v>
      </c>
      <c r="S924" s="4" t="n">
        <f aca="false">IFERROR(K924/J924,0)</f>
        <v>0.225016995241332</v>
      </c>
      <c r="T924" s="6" t="s">
        <v>23</v>
      </c>
    </row>
    <row r="925" customFormat="false" ht="15" hidden="false" customHeight="false" outlineLevel="0" collapsed="false">
      <c r="A925" s="3" t="s">
        <v>958</v>
      </c>
      <c r="B925" s="3" t="s">
        <v>26</v>
      </c>
      <c r="C925" s="3" t="n">
        <v>3135</v>
      </c>
      <c r="D925" s="3" t="n">
        <v>314</v>
      </c>
      <c r="E925" s="3" t="n">
        <v>1318</v>
      </c>
      <c r="F925" s="3" t="n">
        <v>9992</v>
      </c>
      <c r="G925" s="3" t="n">
        <v>13</v>
      </c>
      <c r="H925" s="3" t="n">
        <v>1156899.1</v>
      </c>
      <c r="I925" s="3" t="n">
        <v>2077</v>
      </c>
      <c r="J925" s="3" t="n">
        <v>386131</v>
      </c>
      <c r="K925" s="3" t="n">
        <v>95651</v>
      </c>
      <c r="L925" s="3" t="n">
        <v>1091</v>
      </c>
      <c r="M925" s="4" t="n">
        <f aca="false">IFERROR(D925/C925,0)</f>
        <v>0.100159489633174</v>
      </c>
      <c r="N925" s="4" t="n">
        <f aca="false">IFERROR(E925/C925,0)</f>
        <v>0.420414673046252</v>
      </c>
      <c r="O925" s="5" t="n">
        <f aca="false">IFERROR(F925/MAX(C925-D925,1),0)</f>
        <v>3.54200638071606</v>
      </c>
      <c r="P925" s="5" t="n">
        <f aca="false">IFERROR(F925/C925,0)</f>
        <v>3.18724082934609</v>
      </c>
      <c r="Q925" s="5" t="n">
        <f aca="false">IFERROR(H925/C925,0)</f>
        <v>369.0268261563</v>
      </c>
      <c r="R925" s="4" t="n">
        <f aca="false">IFERROR(I925/F925,0)</f>
        <v>0.207866293034428</v>
      </c>
      <c r="S925" s="4" t="n">
        <f aca="false">IFERROR(K925/J925,0)</f>
        <v>0.247716448562793</v>
      </c>
      <c r="T925" s="6" t="s">
        <v>23</v>
      </c>
    </row>
    <row r="926" customFormat="false" ht="15" hidden="false" customHeight="false" outlineLevel="0" collapsed="false">
      <c r="A926" s="9" t="s">
        <v>959</v>
      </c>
      <c r="B926" s="9" t="s">
        <v>26</v>
      </c>
      <c r="C926" s="9" t="n">
        <v>3660</v>
      </c>
      <c r="D926" s="9" t="n">
        <v>1346</v>
      </c>
      <c r="E926" s="9" t="n">
        <v>2292</v>
      </c>
      <c r="F926" s="9" t="n">
        <v>22118</v>
      </c>
      <c r="G926" s="9" t="n">
        <v>19</v>
      </c>
      <c r="H926" s="9" t="n">
        <v>2688381.8</v>
      </c>
      <c r="I926" s="9" t="n">
        <v>15805</v>
      </c>
      <c r="J926" s="9" t="n">
        <v>435171</v>
      </c>
      <c r="K926" s="9" t="n">
        <v>382245</v>
      </c>
      <c r="L926" s="9" t="n">
        <v>1625</v>
      </c>
      <c r="M926" s="10" t="n">
        <f aca="false">IFERROR(D926/C926,0)</f>
        <v>0.36775956284153</v>
      </c>
      <c r="N926" s="10" t="n">
        <f aca="false">IFERROR(E926/C926,0)</f>
        <v>0.626229508196721</v>
      </c>
      <c r="O926" s="11" t="n">
        <f aca="false">IFERROR(F926/MAX(C926-D926,1),0)</f>
        <v>9.55834053586863</v>
      </c>
      <c r="P926" s="11" t="n">
        <f aca="false">IFERROR(F926/C926,0)</f>
        <v>6.0431693989071</v>
      </c>
      <c r="Q926" s="11" t="n">
        <f aca="false">IFERROR(H926/C926,0)</f>
        <v>734.530546448087</v>
      </c>
      <c r="R926" s="10" t="n">
        <f aca="false">IFERROR(I926/F926,0)</f>
        <v>0.714576363143141</v>
      </c>
      <c r="S926" s="10" t="n">
        <f aca="false">IFERROR(K926/J926,0)</f>
        <v>0.878378844178495</v>
      </c>
      <c r="T926" s="12" t="s">
        <v>30</v>
      </c>
    </row>
    <row r="927" customFormat="false" ht="15" hidden="false" customHeight="false" outlineLevel="0" collapsed="false">
      <c r="A927" s="3" t="s">
        <v>960</v>
      </c>
      <c r="B927" s="3" t="s">
        <v>29</v>
      </c>
      <c r="C927" s="3" t="n">
        <v>3248</v>
      </c>
      <c r="D927" s="3" t="n">
        <v>608</v>
      </c>
      <c r="E927" s="3" t="n">
        <v>1522</v>
      </c>
      <c r="F927" s="3" t="n">
        <v>9726</v>
      </c>
      <c r="G927" s="3" t="n">
        <v>12</v>
      </c>
      <c r="H927" s="3" t="n">
        <v>1431608.8</v>
      </c>
      <c r="I927" s="3" t="n">
        <v>2202</v>
      </c>
      <c r="J927" s="3" t="n">
        <v>510934</v>
      </c>
      <c r="K927" s="3" t="n">
        <v>109433</v>
      </c>
      <c r="L927" s="3" t="n">
        <v>0</v>
      </c>
      <c r="M927" s="4" t="n">
        <f aca="false">IFERROR(D927/C927,0)</f>
        <v>0.187192118226601</v>
      </c>
      <c r="N927" s="4" t="n">
        <f aca="false">IFERROR(E927/C927,0)</f>
        <v>0.468596059113301</v>
      </c>
      <c r="O927" s="5" t="n">
        <f aca="false">IFERROR(F927/MAX(C927-D927,1),0)</f>
        <v>3.68409090909091</v>
      </c>
      <c r="P927" s="5" t="n">
        <f aca="false">IFERROR(F927/C927,0)</f>
        <v>2.99445812807882</v>
      </c>
      <c r="Q927" s="5" t="n">
        <f aca="false">IFERROR(H927/C927,0)</f>
        <v>440.766256157636</v>
      </c>
      <c r="R927" s="4" t="n">
        <f aca="false">IFERROR(I927/F927,0)</f>
        <v>0.226403454657619</v>
      </c>
      <c r="S927" s="4" t="n">
        <f aca="false">IFERROR(K927/J927,0)</f>
        <v>0.21418226228828</v>
      </c>
      <c r="T927" s="6" t="s">
        <v>23</v>
      </c>
    </row>
    <row r="928" customFormat="false" ht="15" hidden="false" customHeight="false" outlineLevel="0" collapsed="false">
      <c r="A928" s="3" t="s">
        <v>961</v>
      </c>
      <c r="B928" s="3" t="s">
        <v>22</v>
      </c>
      <c r="C928" s="3" t="n">
        <v>776</v>
      </c>
      <c r="D928" s="3" t="n">
        <v>132</v>
      </c>
      <c r="E928" s="3" t="n">
        <v>372</v>
      </c>
      <c r="F928" s="3" t="n">
        <v>3337</v>
      </c>
      <c r="G928" s="3" t="n">
        <v>17</v>
      </c>
      <c r="H928" s="3" t="n">
        <v>516604.6</v>
      </c>
      <c r="I928" s="3" t="n">
        <v>810</v>
      </c>
      <c r="J928" s="3" t="n">
        <v>59172</v>
      </c>
      <c r="K928" s="3" t="n">
        <v>11436</v>
      </c>
      <c r="L928" s="3" t="n">
        <v>261</v>
      </c>
      <c r="M928" s="4" t="n">
        <f aca="false">IFERROR(D928/C928,0)</f>
        <v>0.170103092783505</v>
      </c>
      <c r="N928" s="4" t="n">
        <f aca="false">IFERROR(E928/C928,0)</f>
        <v>0.479381443298969</v>
      </c>
      <c r="O928" s="5" t="n">
        <f aca="false">IFERROR(F928/MAX(C928-D928,1),0)</f>
        <v>5.18167701863354</v>
      </c>
      <c r="P928" s="5" t="n">
        <f aca="false">IFERROR(F928/C928,0)</f>
        <v>4.30025773195876</v>
      </c>
      <c r="Q928" s="5" t="n">
        <f aca="false">IFERROR(H928/C928,0)</f>
        <v>665.727577319588</v>
      </c>
      <c r="R928" s="4" t="n">
        <f aca="false">IFERROR(I928/F928,0)</f>
        <v>0.242732993706922</v>
      </c>
      <c r="S928" s="4" t="n">
        <f aca="false">IFERROR(K928/J928,0)</f>
        <v>0.193267085783817</v>
      </c>
      <c r="T928" s="6" t="s">
        <v>23</v>
      </c>
    </row>
    <row r="929" customFormat="false" ht="15" hidden="false" customHeight="false" outlineLevel="0" collapsed="false">
      <c r="A929" s="3" t="s">
        <v>962</v>
      </c>
      <c r="B929" s="3" t="s">
        <v>29</v>
      </c>
      <c r="C929" s="3" t="n">
        <v>3865</v>
      </c>
      <c r="D929" s="3" t="n">
        <v>142</v>
      </c>
      <c r="E929" s="3" t="n">
        <v>858</v>
      </c>
      <c r="F929" s="3" t="n">
        <v>7094</v>
      </c>
      <c r="G929" s="3" t="n">
        <v>10</v>
      </c>
      <c r="H929" s="3" t="n">
        <v>1358419</v>
      </c>
      <c r="I929" s="3" t="n">
        <v>1258</v>
      </c>
      <c r="J929" s="3" t="n">
        <v>587827</v>
      </c>
      <c r="K929" s="3" t="n">
        <v>99503</v>
      </c>
      <c r="L929" s="3" t="n">
        <v>0</v>
      </c>
      <c r="M929" s="4" t="n">
        <f aca="false">IFERROR(D929/C929,0)</f>
        <v>0.0367399741267788</v>
      </c>
      <c r="N929" s="4" t="n">
        <f aca="false">IFERROR(E929/C929,0)</f>
        <v>0.221992238033635</v>
      </c>
      <c r="O929" s="5" t="n">
        <f aca="false">IFERROR(F929/MAX(C929-D929,1),0)</f>
        <v>1.9054525919957</v>
      </c>
      <c r="P929" s="5" t="n">
        <f aca="false">IFERROR(F929/C929,0)</f>
        <v>1.83544631306598</v>
      </c>
      <c r="Q929" s="5" t="n">
        <f aca="false">IFERROR(H929/C929,0)</f>
        <v>351.466752910737</v>
      </c>
      <c r="R929" s="4" t="n">
        <f aca="false">IFERROR(I929/F929,0)</f>
        <v>0.177332957428813</v>
      </c>
      <c r="S929" s="4" t="n">
        <f aca="false">IFERROR(K929/J929,0)</f>
        <v>0.169272592106181</v>
      </c>
      <c r="T929" s="6" t="s">
        <v>23</v>
      </c>
    </row>
    <row r="930" customFormat="false" ht="15" hidden="false" customHeight="false" outlineLevel="0" collapsed="false">
      <c r="A930" s="3" t="s">
        <v>963</v>
      </c>
      <c r="B930" s="3" t="s">
        <v>29</v>
      </c>
      <c r="C930" s="3" t="n">
        <v>1599</v>
      </c>
      <c r="D930" s="3" t="n">
        <v>253</v>
      </c>
      <c r="E930" s="3" t="n">
        <v>553</v>
      </c>
      <c r="F930" s="3" t="n">
        <v>6294</v>
      </c>
      <c r="G930" s="3" t="n">
        <v>17</v>
      </c>
      <c r="H930" s="3" t="n">
        <v>1051449</v>
      </c>
      <c r="I930" s="3" t="n">
        <v>1581</v>
      </c>
      <c r="J930" s="3" t="n">
        <v>117844</v>
      </c>
      <c r="K930" s="3" t="n">
        <v>29101</v>
      </c>
      <c r="L930" s="3" t="n">
        <v>0</v>
      </c>
      <c r="M930" s="4" t="n">
        <f aca="false">IFERROR(D930/C930,0)</f>
        <v>0.158223889931207</v>
      </c>
      <c r="N930" s="4" t="n">
        <f aca="false">IFERROR(E930/C930,0)</f>
        <v>0.3458411507192</v>
      </c>
      <c r="O930" s="5" t="n">
        <f aca="false">IFERROR(F930/MAX(C930-D930,1),0)</f>
        <v>4.67607726597325</v>
      </c>
      <c r="P930" s="5" t="n">
        <f aca="false">IFERROR(F930/C930,0)</f>
        <v>3.93621013133208</v>
      </c>
      <c r="Q930" s="5" t="n">
        <f aca="false">IFERROR(H930/C930,0)</f>
        <v>657.56660412758</v>
      </c>
      <c r="R930" s="4" t="n">
        <f aca="false">IFERROR(I930/F930,0)</f>
        <v>0.251191611058151</v>
      </c>
      <c r="S930" s="4" t="n">
        <f aca="false">IFERROR(K930/J930,0)</f>
        <v>0.246945113879366</v>
      </c>
      <c r="T930" s="6" t="s">
        <v>23</v>
      </c>
    </row>
    <row r="931" customFormat="false" ht="15" hidden="false" customHeight="false" outlineLevel="0" collapsed="false">
      <c r="A931" s="9" t="s">
        <v>964</v>
      </c>
      <c r="B931" s="9" t="s">
        <v>22</v>
      </c>
      <c r="C931" s="9" t="n">
        <v>3775</v>
      </c>
      <c r="D931" s="9" t="n">
        <v>1461</v>
      </c>
      <c r="E931" s="9" t="n">
        <v>2618</v>
      </c>
      <c r="F931" s="9" t="n">
        <v>29638</v>
      </c>
      <c r="G931" s="9" t="n">
        <v>28</v>
      </c>
      <c r="H931" s="9" t="n">
        <v>3802465</v>
      </c>
      <c r="I931" s="9" t="n">
        <v>11997</v>
      </c>
      <c r="J931" s="9" t="n">
        <v>404885</v>
      </c>
      <c r="K931" s="9" t="n">
        <v>273974</v>
      </c>
      <c r="L931" s="9" t="n">
        <v>1572</v>
      </c>
      <c r="M931" s="10" t="n">
        <f aca="false">IFERROR(D931/C931,0)</f>
        <v>0.387019867549669</v>
      </c>
      <c r="N931" s="10" t="n">
        <f aca="false">IFERROR(E931/C931,0)</f>
        <v>0.693509933774834</v>
      </c>
      <c r="O931" s="11" t="n">
        <f aca="false">IFERROR(F931/MAX(C931-D931,1),0)</f>
        <v>12.8081244598099</v>
      </c>
      <c r="P931" s="11" t="n">
        <f aca="false">IFERROR(F931/C931,0)</f>
        <v>7.85112582781457</v>
      </c>
      <c r="Q931" s="11" t="n">
        <f aca="false">IFERROR(H931/C931,0)</f>
        <v>1007.27549668874</v>
      </c>
      <c r="R931" s="10" t="n">
        <f aca="false">IFERROR(I931/F931,0)</f>
        <v>0.40478439840745</v>
      </c>
      <c r="S931" s="10" t="n">
        <f aca="false">IFERROR(K931/J931,0)</f>
        <v>0.676671153537424</v>
      </c>
      <c r="T931" s="12" t="s">
        <v>30</v>
      </c>
    </row>
    <row r="932" customFormat="false" ht="15" hidden="false" customHeight="false" outlineLevel="0" collapsed="false">
      <c r="A932" s="9" t="s">
        <v>965</v>
      </c>
      <c r="B932" s="9" t="s">
        <v>29</v>
      </c>
      <c r="C932" s="9" t="n">
        <v>306</v>
      </c>
      <c r="D932" s="9" t="n">
        <v>130</v>
      </c>
      <c r="E932" s="9" t="n">
        <v>177</v>
      </c>
      <c r="F932" s="9" t="n">
        <v>2868</v>
      </c>
      <c r="G932" s="9" t="n">
        <v>24</v>
      </c>
      <c r="H932" s="9" t="n">
        <v>335722</v>
      </c>
      <c r="I932" s="9" t="n">
        <v>1755</v>
      </c>
      <c r="J932" s="9" t="n">
        <v>45426</v>
      </c>
      <c r="K932" s="9" t="n">
        <v>16758</v>
      </c>
      <c r="L932" s="9" t="n">
        <v>0</v>
      </c>
      <c r="M932" s="10" t="n">
        <f aca="false">IFERROR(D932/C932,0)</f>
        <v>0.42483660130719</v>
      </c>
      <c r="N932" s="10" t="n">
        <f aca="false">IFERROR(E932/C932,0)</f>
        <v>0.57843137254902</v>
      </c>
      <c r="O932" s="11" t="n">
        <f aca="false">IFERROR(F932/MAX(C932-D932,1),0)</f>
        <v>16.2954545454545</v>
      </c>
      <c r="P932" s="11" t="n">
        <f aca="false">IFERROR(F932/C932,0)</f>
        <v>9.37254901960784</v>
      </c>
      <c r="Q932" s="11" t="n">
        <f aca="false">IFERROR(H932/C932,0)</f>
        <v>1097.13071895425</v>
      </c>
      <c r="R932" s="10" t="n">
        <f aca="false">IFERROR(I932/F932,0)</f>
        <v>0.611924686192469</v>
      </c>
      <c r="S932" s="10" t="n">
        <f aca="false">IFERROR(K932/J932,0)</f>
        <v>0.368907674019284</v>
      </c>
      <c r="T932" s="12" t="s">
        <v>30</v>
      </c>
    </row>
    <row r="933" customFormat="false" ht="15" hidden="false" customHeight="false" outlineLevel="0" collapsed="false">
      <c r="A933" s="3" t="s">
        <v>966</v>
      </c>
      <c r="B933" s="3" t="s">
        <v>26</v>
      </c>
      <c r="C933" s="3" t="n">
        <v>913</v>
      </c>
      <c r="D933" s="3" t="n">
        <v>5</v>
      </c>
      <c r="E933" s="3" t="n">
        <v>189</v>
      </c>
      <c r="F933" s="3" t="n">
        <v>2317</v>
      </c>
      <c r="G933" s="3" t="n">
        <v>11</v>
      </c>
      <c r="H933" s="3" t="n">
        <v>346035.7</v>
      </c>
      <c r="I933" s="3" t="n">
        <v>440</v>
      </c>
      <c r="J933" s="3" t="n">
        <v>72930</v>
      </c>
      <c r="K933" s="3" t="n">
        <v>12568</v>
      </c>
      <c r="L933" s="3" t="n">
        <v>249</v>
      </c>
      <c r="M933" s="4" t="n">
        <f aca="false">IFERROR(D933/C933,0)</f>
        <v>0.00547645125958379</v>
      </c>
      <c r="N933" s="4" t="n">
        <f aca="false">IFERROR(E933/C933,0)</f>
        <v>0.207009857612267</v>
      </c>
      <c r="O933" s="5" t="n">
        <f aca="false">IFERROR(F933/MAX(C933-D933,1),0)</f>
        <v>2.55176211453745</v>
      </c>
      <c r="P933" s="5" t="n">
        <f aca="false">IFERROR(F933/C933,0)</f>
        <v>2.53778751369113</v>
      </c>
      <c r="Q933" s="5" t="n">
        <f aca="false">IFERROR(H933/C933,0)</f>
        <v>379.009529025192</v>
      </c>
      <c r="R933" s="4" t="n">
        <f aca="false">IFERROR(I933/F933,0)</f>
        <v>0.18990073370738</v>
      </c>
      <c r="S933" s="4" t="n">
        <f aca="false">IFERROR(K933/J933,0)</f>
        <v>0.172329631153161</v>
      </c>
      <c r="T933" s="6" t="s">
        <v>23</v>
      </c>
    </row>
    <row r="934" customFormat="false" ht="15" hidden="false" customHeight="false" outlineLevel="0" collapsed="false">
      <c r="A934" s="3" t="s">
        <v>967</v>
      </c>
      <c r="B934" s="3" t="s">
        <v>22</v>
      </c>
      <c r="C934" s="3" t="n">
        <v>2012</v>
      </c>
      <c r="D934" s="3" t="n">
        <v>180</v>
      </c>
      <c r="E934" s="3" t="n">
        <v>788</v>
      </c>
      <c r="F934" s="3" t="n">
        <v>3126</v>
      </c>
      <c r="G934" s="3" t="n">
        <v>9</v>
      </c>
      <c r="H934" s="3" t="n">
        <v>971886.2</v>
      </c>
      <c r="I934" s="3" t="n">
        <v>673</v>
      </c>
      <c r="J934" s="3" t="n">
        <v>285941</v>
      </c>
      <c r="K934" s="3" t="n">
        <v>38589</v>
      </c>
      <c r="L934" s="3" t="n">
        <v>689</v>
      </c>
      <c r="M934" s="4" t="n">
        <f aca="false">IFERROR(D934/C934,0)</f>
        <v>0.0894632206759443</v>
      </c>
      <c r="N934" s="4" t="n">
        <f aca="false">IFERROR(E934/C934,0)</f>
        <v>0.391650099403579</v>
      </c>
      <c r="O934" s="5" t="n">
        <f aca="false">IFERROR(F934/MAX(C934-D934,1),0)</f>
        <v>1.70633187772926</v>
      </c>
      <c r="P934" s="5" t="n">
        <f aca="false">IFERROR(F934/C934,0)</f>
        <v>1.55367793240557</v>
      </c>
      <c r="Q934" s="5" t="n">
        <f aca="false">IFERROR(H934/C934,0)</f>
        <v>483.044831013916</v>
      </c>
      <c r="R934" s="4" t="n">
        <f aca="false">IFERROR(I934/F934,0)</f>
        <v>0.215291106845809</v>
      </c>
      <c r="S934" s="4" t="n">
        <f aca="false">IFERROR(K934/J934,0)</f>
        <v>0.134954413672751</v>
      </c>
      <c r="T934" s="6" t="s">
        <v>23</v>
      </c>
    </row>
    <row r="935" customFormat="false" ht="15" hidden="false" customHeight="false" outlineLevel="0" collapsed="false">
      <c r="A935" s="3" t="s">
        <v>968</v>
      </c>
      <c r="B935" s="3" t="s">
        <v>22</v>
      </c>
      <c r="C935" s="3" t="n">
        <v>397</v>
      </c>
      <c r="D935" s="3" t="n">
        <v>46</v>
      </c>
      <c r="E935" s="3" t="n">
        <v>148</v>
      </c>
      <c r="F935" s="3" t="n">
        <v>1117</v>
      </c>
      <c r="G935" s="3" t="n">
        <v>13</v>
      </c>
      <c r="H935" s="3" t="n">
        <v>227131.5</v>
      </c>
      <c r="I935" s="3" t="n">
        <v>194</v>
      </c>
      <c r="J935" s="3" t="n">
        <v>45223</v>
      </c>
      <c r="K935" s="3" t="n">
        <v>7078</v>
      </c>
      <c r="L935" s="3" t="n">
        <v>104</v>
      </c>
      <c r="M935" s="4" t="n">
        <f aca="false">IFERROR(D935/C935,0)</f>
        <v>0.115869017632242</v>
      </c>
      <c r="N935" s="4" t="n">
        <f aca="false">IFERROR(E935/C935,0)</f>
        <v>0.3727959697733</v>
      </c>
      <c r="O935" s="5" t="n">
        <f aca="false">IFERROR(F935/MAX(C935-D935,1),0)</f>
        <v>3.18233618233618</v>
      </c>
      <c r="P935" s="5" t="n">
        <f aca="false">IFERROR(F935/C935,0)</f>
        <v>2.81360201511335</v>
      </c>
      <c r="Q935" s="5" t="n">
        <f aca="false">IFERROR(H935/C935,0)</f>
        <v>572.119647355164</v>
      </c>
      <c r="R935" s="4" t="n">
        <f aca="false">IFERROR(I935/F935,0)</f>
        <v>0.173679498657117</v>
      </c>
      <c r="S935" s="4" t="n">
        <f aca="false">IFERROR(K935/J935,0)</f>
        <v>0.156513278641399</v>
      </c>
      <c r="T935" s="6" t="s">
        <v>23</v>
      </c>
    </row>
    <row r="936" customFormat="false" ht="15" hidden="false" customHeight="false" outlineLevel="0" collapsed="false">
      <c r="A936" s="3" t="s">
        <v>969</v>
      </c>
      <c r="B936" s="3" t="s">
        <v>26</v>
      </c>
      <c r="C936" s="3" t="n">
        <v>1962</v>
      </c>
      <c r="D936" s="3" t="n">
        <v>192</v>
      </c>
      <c r="E936" s="3" t="n">
        <v>519</v>
      </c>
      <c r="F936" s="3" t="n">
        <v>4037</v>
      </c>
      <c r="G936" s="3" t="n">
        <v>8</v>
      </c>
      <c r="H936" s="3" t="n">
        <v>841956.3</v>
      </c>
      <c r="I936" s="3" t="n">
        <v>562</v>
      </c>
      <c r="J936" s="3" t="n">
        <v>268329</v>
      </c>
      <c r="K936" s="3" t="n">
        <v>41180</v>
      </c>
      <c r="L936" s="3" t="n">
        <v>564</v>
      </c>
      <c r="M936" s="4" t="n">
        <f aca="false">IFERROR(D936/C936,0)</f>
        <v>0.0978593272171254</v>
      </c>
      <c r="N936" s="4" t="n">
        <f aca="false">IFERROR(E936/C936,0)</f>
        <v>0.264525993883792</v>
      </c>
      <c r="O936" s="5" t="n">
        <f aca="false">IFERROR(F936/MAX(C936-D936,1),0)</f>
        <v>2.28079096045198</v>
      </c>
      <c r="P936" s="5" t="n">
        <f aca="false">IFERROR(F936/C936,0)</f>
        <v>2.05759429153925</v>
      </c>
      <c r="Q936" s="5" t="n">
        <f aca="false">IFERROR(H936/C936,0)</f>
        <v>429.131651376147</v>
      </c>
      <c r="R936" s="4" t="n">
        <f aca="false">IFERROR(I936/F936,0)</f>
        <v>0.139212286351251</v>
      </c>
      <c r="S936" s="4" t="n">
        <f aca="false">IFERROR(K936/J936,0)</f>
        <v>0.153468316879651</v>
      </c>
      <c r="T936" s="6" t="s">
        <v>23</v>
      </c>
    </row>
    <row r="937" customFormat="false" ht="15" hidden="false" customHeight="false" outlineLevel="0" collapsed="false">
      <c r="A937" s="9" t="s">
        <v>970</v>
      </c>
      <c r="B937" s="9" t="s">
        <v>29</v>
      </c>
      <c r="C937" s="9" t="n">
        <v>2037</v>
      </c>
      <c r="D937" s="9" t="n">
        <v>679</v>
      </c>
      <c r="E937" s="9" t="n">
        <v>1298</v>
      </c>
      <c r="F937" s="9" t="n">
        <v>16993</v>
      </c>
      <c r="G937" s="9" t="n">
        <v>27</v>
      </c>
      <c r="H937" s="9" t="n">
        <v>2676730.1</v>
      </c>
      <c r="I937" s="9" t="n">
        <v>13608</v>
      </c>
      <c r="J937" s="9" t="n">
        <v>349279</v>
      </c>
      <c r="K937" s="9" t="n">
        <v>278215</v>
      </c>
      <c r="L937" s="9" t="n">
        <v>0</v>
      </c>
      <c r="M937" s="10" t="n">
        <f aca="false">IFERROR(D937/C937,0)</f>
        <v>0.333333333333333</v>
      </c>
      <c r="N937" s="10" t="n">
        <f aca="false">IFERROR(E937/C937,0)</f>
        <v>0.637211585665194</v>
      </c>
      <c r="O937" s="11" t="n">
        <f aca="false">IFERROR(F937/MAX(C937-D937,1),0)</f>
        <v>12.5132547864507</v>
      </c>
      <c r="P937" s="11" t="n">
        <f aca="false">IFERROR(F937/C937,0)</f>
        <v>8.34216985763378</v>
      </c>
      <c r="Q937" s="11" t="n">
        <f aca="false">IFERROR(H937/C937,0)</f>
        <v>1314.05503190967</v>
      </c>
      <c r="R937" s="10" t="n">
        <f aca="false">IFERROR(I937/F937,0)</f>
        <v>0.800800329547461</v>
      </c>
      <c r="S937" s="10" t="n">
        <f aca="false">IFERROR(K937/J937,0)</f>
        <v>0.796540874200854</v>
      </c>
      <c r="T937" s="12" t="s">
        <v>30</v>
      </c>
    </row>
    <row r="938" customFormat="false" ht="15" hidden="false" customHeight="false" outlineLevel="0" collapsed="false">
      <c r="A938" s="3" t="s">
        <v>971</v>
      </c>
      <c r="B938" s="3" t="s">
        <v>26</v>
      </c>
      <c r="C938" s="3" t="n">
        <v>978</v>
      </c>
      <c r="D938" s="3" t="n">
        <v>58</v>
      </c>
      <c r="E938" s="3" t="n">
        <v>305</v>
      </c>
      <c r="F938" s="3" t="n">
        <v>2318</v>
      </c>
      <c r="G938" s="3" t="n">
        <v>11</v>
      </c>
      <c r="H938" s="3" t="n">
        <v>574033</v>
      </c>
      <c r="I938" s="3" t="n">
        <v>455</v>
      </c>
      <c r="J938" s="3" t="n">
        <v>134682</v>
      </c>
      <c r="K938" s="3" t="n">
        <v>25394</v>
      </c>
      <c r="L938" s="3" t="n">
        <v>163</v>
      </c>
      <c r="M938" s="4" t="n">
        <f aca="false">IFERROR(D938/C938,0)</f>
        <v>0.0593047034764826</v>
      </c>
      <c r="N938" s="4" t="n">
        <f aca="false">IFERROR(E938/C938,0)</f>
        <v>0.311860940695297</v>
      </c>
      <c r="O938" s="5" t="n">
        <f aca="false">IFERROR(F938/MAX(C938-D938,1),0)</f>
        <v>2.5195652173913</v>
      </c>
      <c r="P938" s="5" t="n">
        <f aca="false">IFERROR(F938/C938,0)</f>
        <v>2.37014314928425</v>
      </c>
      <c r="Q938" s="5" t="n">
        <f aca="false">IFERROR(H938/C938,0)</f>
        <v>586.945807770961</v>
      </c>
      <c r="R938" s="4" t="n">
        <f aca="false">IFERROR(I938/F938,0)</f>
        <v>0.196289905090595</v>
      </c>
      <c r="S938" s="4" t="n">
        <f aca="false">IFERROR(K938/J938,0)</f>
        <v>0.188547838612435</v>
      </c>
      <c r="T938" s="6" t="s">
        <v>23</v>
      </c>
    </row>
    <row r="939" customFormat="false" ht="15" hidden="false" customHeight="false" outlineLevel="0" collapsed="false">
      <c r="A939" s="3" t="s">
        <v>972</v>
      </c>
      <c r="B939" s="3" t="s">
        <v>22</v>
      </c>
      <c r="C939" s="3" t="n">
        <v>1675</v>
      </c>
      <c r="D939" s="3" t="n">
        <v>115</v>
      </c>
      <c r="E939" s="3" t="n">
        <v>517</v>
      </c>
      <c r="F939" s="3" t="n">
        <v>2657</v>
      </c>
      <c r="G939" s="3" t="n">
        <v>9</v>
      </c>
      <c r="H939" s="3" t="n">
        <v>769869.1</v>
      </c>
      <c r="I939" s="3" t="n">
        <v>456</v>
      </c>
      <c r="J939" s="3" t="n">
        <v>291925</v>
      </c>
      <c r="K939" s="3" t="n">
        <v>50909</v>
      </c>
      <c r="L939" s="3" t="n">
        <v>215</v>
      </c>
      <c r="M939" s="4" t="n">
        <f aca="false">IFERROR(D939/C939,0)</f>
        <v>0.0686567164179105</v>
      </c>
      <c r="N939" s="4" t="n">
        <f aca="false">IFERROR(E939/C939,0)</f>
        <v>0.30865671641791</v>
      </c>
      <c r="O939" s="5" t="n">
        <f aca="false">IFERROR(F939/MAX(C939-D939,1),0)</f>
        <v>1.70320512820513</v>
      </c>
      <c r="P939" s="5" t="n">
        <f aca="false">IFERROR(F939/C939,0)</f>
        <v>1.58626865671642</v>
      </c>
      <c r="Q939" s="5" t="n">
        <f aca="false">IFERROR(H939/C939,0)</f>
        <v>459.623343283582</v>
      </c>
      <c r="R939" s="4" t="n">
        <f aca="false">IFERROR(I939/F939,0)</f>
        <v>0.171622130222055</v>
      </c>
      <c r="S939" s="4" t="n">
        <f aca="false">IFERROR(K939/J939,0)</f>
        <v>0.174390682538323</v>
      </c>
      <c r="T939" s="6" t="s">
        <v>23</v>
      </c>
    </row>
    <row r="940" customFormat="false" ht="15" hidden="false" customHeight="false" outlineLevel="0" collapsed="false">
      <c r="A940" s="9" t="s">
        <v>973</v>
      </c>
      <c r="B940" s="9" t="s">
        <v>26</v>
      </c>
      <c r="C940" s="9" t="n">
        <v>2292</v>
      </c>
      <c r="D940" s="9" t="n">
        <v>702</v>
      </c>
      <c r="E940" s="9" t="n">
        <v>1250</v>
      </c>
      <c r="F940" s="9" t="n">
        <v>19004</v>
      </c>
      <c r="G940" s="9" t="n">
        <v>20</v>
      </c>
      <c r="H940" s="9" t="n">
        <v>2497619.2</v>
      </c>
      <c r="I940" s="9" t="n">
        <v>13528</v>
      </c>
      <c r="J940" s="9" t="n">
        <v>425412</v>
      </c>
      <c r="K940" s="9" t="n">
        <v>256623</v>
      </c>
      <c r="L940" s="9" t="n">
        <v>731</v>
      </c>
      <c r="M940" s="10" t="n">
        <f aca="false">IFERROR(D940/C940,0)</f>
        <v>0.306282722513089</v>
      </c>
      <c r="N940" s="10" t="n">
        <f aca="false">IFERROR(E940/C940,0)</f>
        <v>0.545375218150087</v>
      </c>
      <c r="O940" s="11" t="n">
        <f aca="false">IFERROR(F940/MAX(C940-D940,1),0)</f>
        <v>11.9522012578616</v>
      </c>
      <c r="P940" s="11" t="n">
        <f aca="false">IFERROR(F940/C940,0)</f>
        <v>8.29144851657941</v>
      </c>
      <c r="Q940" s="11" t="n">
        <f aca="false">IFERROR(H940/C940,0)</f>
        <v>1089.71169284468</v>
      </c>
      <c r="R940" s="10" t="n">
        <f aca="false">IFERROR(I940/F940,0)</f>
        <v>0.711850136813302</v>
      </c>
      <c r="S940" s="10" t="n">
        <f aca="false">IFERROR(K940/J940,0)</f>
        <v>0.603234041352853</v>
      </c>
      <c r="T940" s="12" t="s">
        <v>30</v>
      </c>
    </row>
    <row r="941" customFormat="false" ht="15" hidden="false" customHeight="false" outlineLevel="0" collapsed="false">
      <c r="A941" s="3" t="s">
        <v>974</v>
      </c>
      <c r="B941" s="3" t="s">
        <v>26</v>
      </c>
      <c r="C941" s="3" t="n">
        <v>2370</v>
      </c>
      <c r="D941" s="3" t="n">
        <v>350</v>
      </c>
      <c r="E941" s="3" t="n">
        <v>858</v>
      </c>
      <c r="F941" s="3" t="n">
        <v>6292</v>
      </c>
      <c r="G941" s="3" t="n">
        <v>14</v>
      </c>
      <c r="H941" s="3" t="n">
        <v>1550756.3</v>
      </c>
      <c r="I941" s="3" t="n">
        <v>1634</v>
      </c>
      <c r="J941" s="3" t="n">
        <v>317816</v>
      </c>
      <c r="K941" s="3" t="n">
        <v>75571</v>
      </c>
      <c r="L941" s="3" t="n">
        <v>896</v>
      </c>
      <c r="M941" s="4" t="n">
        <f aca="false">IFERROR(D941/C941,0)</f>
        <v>0.147679324894515</v>
      </c>
      <c r="N941" s="4" t="n">
        <f aca="false">IFERROR(E941/C941,0)</f>
        <v>0.362025316455696</v>
      </c>
      <c r="O941" s="5" t="n">
        <f aca="false">IFERROR(F941/MAX(C941-D941,1),0)</f>
        <v>3.11485148514852</v>
      </c>
      <c r="P941" s="5" t="n">
        <f aca="false">IFERROR(F941/C941,0)</f>
        <v>2.65485232067511</v>
      </c>
      <c r="Q941" s="5" t="n">
        <f aca="false">IFERROR(H941/C941,0)</f>
        <v>654.327552742616</v>
      </c>
      <c r="R941" s="4" t="n">
        <f aca="false">IFERROR(I941/F941,0)</f>
        <v>0.259694850603942</v>
      </c>
      <c r="S941" s="4" t="n">
        <f aca="false">IFERROR(K941/J941,0)</f>
        <v>0.237782238779671</v>
      </c>
      <c r="T941" s="6" t="s">
        <v>23</v>
      </c>
    </row>
    <row r="942" customFormat="false" ht="15" hidden="false" customHeight="false" outlineLevel="0" collapsed="false">
      <c r="A942" s="9" t="s">
        <v>975</v>
      </c>
      <c r="B942" s="9" t="s">
        <v>22</v>
      </c>
      <c r="C942" s="9" t="n">
        <v>753</v>
      </c>
      <c r="D942" s="9" t="n">
        <v>95</v>
      </c>
      <c r="E942" s="9" t="n">
        <v>295</v>
      </c>
      <c r="F942" s="9" t="n">
        <v>4823</v>
      </c>
      <c r="G942" s="9" t="n">
        <v>16</v>
      </c>
      <c r="H942" s="9" t="n">
        <v>623344.4</v>
      </c>
      <c r="I942" s="9" t="n">
        <v>2771</v>
      </c>
      <c r="J942" s="9" t="n">
        <v>54169</v>
      </c>
      <c r="K942" s="9" t="n">
        <v>31263</v>
      </c>
      <c r="L942" s="9" t="n">
        <v>97</v>
      </c>
      <c r="M942" s="10" t="n">
        <f aca="false">IFERROR(D942/C942,0)</f>
        <v>0.126162018592297</v>
      </c>
      <c r="N942" s="10" t="n">
        <f aca="false">IFERROR(E942/C942,0)</f>
        <v>0.391766268260292</v>
      </c>
      <c r="O942" s="11" t="n">
        <f aca="false">IFERROR(F942/MAX(C942-D942,1),0)</f>
        <v>7.32978723404255</v>
      </c>
      <c r="P942" s="11" t="n">
        <f aca="false">IFERROR(F942/C942,0)</f>
        <v>6.40504648074369</v>
      </c>
      <c r="Q942" s="11" t="n">
        <f aca="false">IFERROR(H942/C942,0)</f>
        <v>827.814608233732</v>
      </c>
      <c r="R942" s="10" t="n">
        <f aca="false">IFERROR(I942/F942,0)</f>
        <v>0.574538668878292</v>
      </c>
      <c r="S942" s="10" t="n">
        <f aca="false">IFERROR(K942/J942,0)</f>
        <v>0.57713821558456</v>
      </c>
      <c r="T942" s="12" t="s">
        <v>30</v>
      </c>
    </row>
    <row r="943" customFormat="false" ht="15" hidden="false" customHeight="false" outlineLevel="0" collapsed="false">
      <c r="A943" s="3" t="s">
        <v>976</v>
      </c>
      <c r="B943" s="3" t="s">
        <v>26</v>
      </c>
      <c r="C943" s="3" t="n">
        <v>3448</v>
      </c>
      <c r="D943" s="3" t="n">
        <v>405</v>
      </c>
      <c r="E943" s="3" t="n">
        <v>1009</v>
      </c>
      <c r="F943" s="3" t="n">
        <v>9930</v>
      </c>
      <c r="G943" s="3" t="n">
        <v>14</v>
      </c>
      <c r="H943" s="3" t="n">
        <v>1339389.5</v>
      </c>
      <c r="I943" s="3" t="n">
        <v>2265</v>
      </c>
      <c r="J943" s="3" t="n">
        <v>257149</v>
      </c>
      <c r="K943" s="3" t="n">
        <v>43997</v>
      </c>
      <c r="L943" s="3" t="n">
        <v>649</v>
      </c>
      <c r="M943" s="4" t="n">
        <f aca="false">IFERROR(D943/C943,0)</f>
        <v>0.11745939675174</v>
      </c>
      <c r="N943" s="4" t="n">
        <f aca="false">IFERROR(E943/C943,0)</f>
        <v>0.292633410672854</v>
      </c>
      <c r="O943" s="5" t="n">
        <f aca="false">IFERROR(F943/MAX(C943-D943,1),0)</f>
        <v>3.26322707854091</v>
      </c>
      <c r="P943" s="5" t="n">
        <f aca="false">IFERROR(F943/C943,0)</f>
        <v>2.87993039443155</v>
      </c>
      <c r="Q943" s="5" t="n">
        <f aca="false">IFERROR(H943/C943,0)</f>
        <v>388.454031322506</v>
      </c>
      <c r="R943" s="4" t="n">
        <f aca="false">IFERROR(I943/F943,0)</f>
        <v>0.22809667673716</v>
      </c>
      <c r="S943" s="4" t="n">
        <f aca="false">IFERROR(K943/J943,0)</f>
        <v>0.171095357166468</v>
      </c>
      <c r="T943" s="6" t="s">
        <v>23</v>
      </c>
    </row>
    <row r="944" customFormat="false" ht="15" hidden="false" customHeight="false" outlineLevel="0" collapsed="false">
      <c r="A944" s="3" t="s">
        <v>977</v>
      </c>
      <c r="B944" s="3" t="s">
        <v>26</v>
      </c>
      <c r="C944" s="3" t="n">
        <v>3728</v>
      </c>
      <c r="D944" s="3" t="n">
        <v>615</v>
      </c>
      <c r="E944" s="3" t="n">
        <v>1274</v>
      </c>
      <c r="F944" s="3" t="n">
        <v>10254</v>
      </c>
      <c r="G944" s="3" t="n">
        <v>14</v>
      </c>
      <c r="H944" s="3" t="n">
        <v>2570846.3</v>
      </c>
      <c r="I944" s="3" t="n">
        <v>1707</v>
      </c>
      <c r="J944" s="3" t="n">
        <v>615276</v>
      </c>
      <c r="K944" s="3" t="n">
        <v>134396</v>
      </c>
      <c r="L944" s="3" t="n">
        <v>853</v>
      </c>
      <c r="M944" s="4" t="n">
        <f aca="false">IFERROR(D944/C944,0)</f>
        <v>0.164967811158798</v>
      </c>
      <c r="N944" s="4" t="n">
        <f aca="false">IFERROR(E944/C944,0)</f>
        <v>0.341738197424893</v>
      </c>
      <c r="O944" s="5" t="n">
        <f aca="false">IFERROR(F944/MAX(C944-D944,1),0)</f>
        <v>3.29392868615483</v>
      </c>
      <c r="P944" s="5" t="n">
        <f aca="false">IFERROR(F944/C944,0)</f>
        <v>2.7505364806867</v>
      </c>
      <c r="Q944" s="5" t="n">
        <f aca="false">IFERROR(H944/C944,0)</f>
        <v>689.604694206009</v>
      </c>
      <c r="R944" s="4" t="n">
        <f aca="false">IFERROR(I944/F944,0)</f>
        <v>0.166471620830895</v>
      </c>
      <c r="S944" s="4" t="n">
        <f aca="false">IFERROR(K944/J944,0)</f>
        <v>0.2184320532574</v>
      </c>
      <c r="T944" s="6" t="s">
        <v>23</v>
      </c>
    </row>
    <row r="945" customFormat="false" ht="15" hidden="false" customHeight="false" outlineLevel="0" collapsed="false">
      <c r="A945" s="3" t="s">
        <v>978</v>
      </c>
      <c r="B945" s="3" t="s">
        <v>22</v>
      </c>
      <c r="C945" s="3" t="n">
        <v>271</v>
      </c>
      <c r="D945" s="3" t="n">
        <v>19</v>
      </c>
      <c r="E945" s="3" t="n">
        <v>92</v>
      </c>
      <c r="F945" s="3" t="n">
        <v>707</v>
      </c>
      <c r="G945" s="3" t="n">
        <v>12</v>
      </c>
      <c r="H945" s="3" t="n">
        <v>106544.2</v>
      </c>
      <c r="I945" s="3" t="n">
        <v>189</v>
      </c>
      <c r="J945" s="3" t="n">
        <v>27206</v>
      </c>
      <c r="K945" s="3" t="n">
        <v>3679</v>
      </c>
      <c r="L945" s="3" t="n">
        <v>106</v>
      </c>
      <c r="M945" s="4" t="n">
        <f aca="false">IFERROR(D945/C945,0)</f>
        <v>0.0701107011070111</v>
      </c>
      <c r="N945" s="4" t="n">
        <f aca="false">IFERROR(E945/C945,0)</f>
        <v>0.339483394833948</v>
      </c>
      <c r="O945" s="5" t="n">
        <f aca="false">IFERROR(F945/MAX(C945-D945,1),0)</f>
        <v>2.80555555555556</v>
      </c>
      <c r="P945" s="5" t="n">
        <f aca="false">IFERROR(F945/C945,0)</f>
        <v>2.60885608856089</v>
      </c>
      <c r="Q945" s="5" t="n">
        <f aca="false">IFERROR(H945/C945,0)</f>
        <v>393.152029520295</v>
      </c>
      <c r="R945" s="4" t="n">
        <f aca="false">IFERROR(I945/F945,0)</f>
        <v>0.267326732673267</v>
      </c>
      <c r="S945" s="4" t="n">
        <f aca="false">IFERROR(K945/J945,0)</f>
        <v>0.13522752334044</v>
      </c>
      <c r="T945" s="6" t="s">
        <v>23</v>
      </c>
    </row>
    <row r="946" customFormat="false" ht="15" hidden="false" customHeight="false" outlineLevel="0" collapsed="false">
      <c r="A946" s="9" t="s">
        <v>979</v>
      </c>
      <c r="B946" s="9" t="s">
        <v>29</v>
      </c>
      <c r="C946" s="9" t="n">
        <v>2827</v>
      </c>
      <c r="D946" s="9" t="n">
        <v>1096</v>
      </c>
      <c r="E946" s="9" t="n">
        <v>1826</v>
      </c>
      <c r="F946" s="9" t="n">
        <v>14920</v>
      </c>
      <c r="G946" s="9" t="n">
        <v>20</v>
      </c>
      <c r="H946" s="9" t="n">
        <v>2253935.1</v>
      </c>
      <c r="I946" s="9" t="n">
        <v>10063</v>
      </c>
      <c r="J946" s="9" t="n">
        <v>450732</v>
      </c>
      <c r="K946" s="9" t="n">
        <v>293741</v>
      </c>
      <c r="L946" s="9" t="n">
        <v>0</v>
      </c>
      <c r="M946" s="10" t="n">
        <f aca="false">IFERROR(D946/C946,0)</f>
        <v>0.387690130880792</v>
      </c>
      <c r="N946" s="10" t="n">
        <f aca="false">IFERROR(E946/C946,0)</f>
        <v>0.64591439688716</v>
      </c>
      <c r="O946" s="11" t="n">
        <f aca="false">IFERROR(F946/MAX(C946-D946,1),0)</f>
        <v>8.61929520508377</v>
      </c>
      <c r="P946" s="11" t="n">
        <f aca="false">IFERROR(F946/C946,0)</f>
        <v>5.27767951892466</v>
      </c>
      <c r="Q946" s="11" t="n">
        <f aca="false">IFERROR(H946/C946,0)</f>
        <v>797.28868058012</v>
      </c>
      <c r="R946" s="10" t="n">
        <f aca="false">IFERROR(I946/F946,0)</f>
        <v>0.674463806970509</v>
      </c>
      <c r="S946" s="10" t="n">
        <f aca="false">IFERROR(K946/J946,0)</f>
        <v>0.651697682880293</v>
      </c>
      <c r="T946" s="12" t="s">
        <v>30</v>
      </c>
    </row>
    <row r="947" customFormat="false" ht="15" hidden="false" customHeight="false" outlineLevel="0" collapsed="false">
      <c r="A947" s="9" t="s">
        <v>980</v>
      </c>
      <c r="B947" s="9" t="s">
        <v>22</v>
      </c>
      <c r="C947" s="9" t="n">
        <v>847</v>
      </c>
      <c r="D947" s="9" t="n">
        <v>204</v>
      </c>
      <c r="E947" s="9" t="n">
        <v>472</v>
      </c>
      <c r="F947" s="9" t="n">
        <v>6324</v>
      </c>
      <c r="G947" s="9" t="n">
        <v>27</v>
      </c>
      <c r="H947" s="9" t="n">
        <v>850429.9</v>
      </c>
      <c r="I947" s="9" t="n">
        <v>4547</v>
      </c>
      <c r="J947" s="9" t="n">
        <v>97591</v>
      </c>
      <c r="K947" s="9" t="n">
        <v>67000</v>
      </c>
      <c r="L947" s="9" t="n">
        <v>119</v>
      </c>
      <c r="M947" s="10" t="n">
        <f aca="false">IFERROR(D947/C947,0)</f>
        <v>0.240850059031877</v>
      </c>
      <c r="N947" s="10" t="n">
        <f aca="false">IFERROR(E947/C947,0)</f>
        <v>0.557260920897285</v>
      </c>
      <c r="O947" s="11" t="n">
        <f aca="false">IFERROR(F947/MAX(C947-D947,1),0)</f>
        <v>9.83514774494557</v>
      </c>
      <c r="P947" s="11" t="n">
        <f aca="false">IFERROR(F947/C947,0)</f>
        <v>7.46635182998819</v>
      </c>
      <c r="Q947" s="11" t="n">
        <f aca="false">IFERROR(H947/C947,0)</f>
        <v>1004.04946871311</v>
      </c>
      <c r="R947" s="10" t="n">
        <f aca="false">IFERROR(I947/F947,0)</f>
        <v>0.719006957621758</v>
      </c>
      <c r="S947" s="10" t="n">
        <f aca="false">IFERROR(K947/J947,0)</f>
        <v>0.686538717709625</v>
      </c>
      <c r="T947" s="12" t="s">
        <v>30</v>
      </c>
    </row>
    <row r="948" customFormat="false" ht="15" hidden="false" customHeight="false" outlineLevel="0" collapsed="false">
      <c r="A948" s="3" t="s">
        <v>981</v>
      </c>
      <c r="B948" s="3" t="s">
        <v>22</v>
      </c>
      <c r="C948" s="3" t="n">
        <v>2393</v>
      </c>
      <c r="D948" s="3" t="n">
        <v>175</v>
      </c>
      <c r="E948" s="3" t="n">
        <v>551</v>
      </c>
      <c r="F948" s="3" t="n">
        <v>5648</v>
      </c>
      <c r="G948" s="3" t="n">
        <v>8</v>
      </c>
      <c r="H948" s="3" t="n">
        <v>1165391.7</v>
      </c>
      <c r="I948" s="3" t="n">
        <v>1025</v>
      </c>
      <c r="J948" s="3" t="n">
        <v>420103</v>
      </c>
      <c r="K948" s="3" t="n">
        <v>64851</v>
      </c>
      <c r="L948" s="3" t="n">
        <v>663</v>
      </c>
      <c r="M948" s="4" t="n">
        <f aca="false">IFERROR(D948/C948,0)</f>
        <v>0.0731299623903051</v>
      </c>
      <c r="N948" s="4" t="n">
        <f aca="false">IFERROR(E948/C948,0)</f>
        <v>0.230254910154618</v>
      </c>
      <c r="O948" s="5" t="n">
        <f aca="false">IFERROR(F948/MAX(C948-D948,1),0)</f>
        <v>2.54643823264202</v>
      </c>
      <c r="P948" s="5" t="n">
        <f aca="false">IFERROR(F948/C948,0)</f>
        <v>2.36021730045967</v>
      </c>
      <c r="Q948" s="5" t="n">
        <f aca="false">IFERROR(H948/C948,0)</f>
        <v>487.00029251985</v>
      </c>
      <c r="R948" s="4" t="n">
        <f aca="false">IFERROR(I948/F948,0)</f>
        <v>0.181480169971671</v>
      </c>
      <c r="S948" s="4" t="n">
        <f aca="false">IFERROR(K948/J948,0)</f>
        <v>0.154369285627572</v>
      </c>
      <c r="T948" s="6" t="s">
        <v>23</v>
      </c>
    </row>
    <row r="949" customFormat="false" ht="15" hidden="false" customHeight="false" outlineLevel="0" collapsed="false">
      <c r="A949" s="3" t="s">
        <v>982</v>
      </c>
      <c r="B949" s="3" t="s">
        <v>29</v>
      </c>
      <c r="C949" s="3" t="n">
        <v>3441</v>
      </c>
      <c r="D949" s="3" t="n">
        <v>367</v>
      </c>
      <c r="E949" s="3" t="n">
        <v>1318</v>
      </c>
      <c r="F949" s="3" t="n">
        <v>9170</v>
      </c>
      <c r="G949" s="3" t="n">
        <v>12</v>
      </c>
      <c r="H949" s="3" t="n">
        <v>1819288.9</v>
      </c>
      <c r="I949" s="3" t="n">
        <v>1509</v>
      </c>
      <c r="J949" s="3" t="n">
        <v>262860</v>
      </c>
      <c r="K949" s="3" t="n">
        <v>60373</v>
      </c>
      <c r="L949" s="3" t="n">
        <v>0</v>
      </c>
      <c r="M949" s="4" t="n">
        <f aca="false">IFERROR(D949/C949,0)</f>
        <v>0.106655042138913</v>
      </c>
      <c r="N949" s="4" t="n">
        <f aca="false">IFERROR(E949/C949,0)</f>
        <v>0.383028189479802</v>
      </c>
      <c r="O949" s="5" t="n">
        <f aca="false">IFERROR(F949/MAX(C949-D949,1),0)</f>
        <v>2.98308392973325</v>
      </c>
      <c r="P949" s="5" t="n">
        <f aca="false">IFERROR(F949/C949,0)</f>
        <v>2.66492298750363</v>
      </c>
      <c r="Q949" s="5" t="n">
        <f aca="false">IFERROR(H949/C949,0)</f>
        <v>528.709357744842</v>
      </c>
      <c r="R949" s="4" t="n">
        <f aca="false">IFERROR(I949/F949,0)</f>
        <v>0.164558342420938</v>
      </c>
      <c r="S949" s="4" t="n">
        <f aca="false">IFERROR(K949/J949,0)</f>
        <v>0.229677394810926</v>
      </c>
      <c r="T949" s="6" t="s">
        <v>23</v>
      </c>
    </row>
    <row r="950" customFormat="false" ht="15" hidden="false" customHeight="false" outlineLevel="0" collapsed="false">
      <c r="A950" s="3" t="s">
        <v>983</v>
      </c>
      <c r="B950" s="3" t="s">
        <v>29</v>
      </c>
      <c r="C950" s="3" t="n">
        <v>880</v>
      </c>
      <c r="D950" s="3" t="n">
        <v>92</v>
      </c>
      <c r="E950" s="3" t="n">
        <v>365</v>
      </c>
      <c r="F950" s="3" t="n">
        <v>2719</v>
      </c>
      <c r="G950" s="3" t="n">
        <v>14</v>
      </c>
      <c r="H950" s="3" t="n">
        <v>309469</v>
      </c>
      <c r="I950" s="3" t="n">
        <v>538</v>
      </c>
      <c r="J950" s="3" t="n">
        <v>129970</v>
      </c>
      <c r="K950" s="3" t="n">
        <v>25026</v>
      </c>
      <c r="L950" s="3" t="n">
        <v>0</v>
      </c>
      <c r="M950" s="4" t="n">
        <f aca="false">IFERROR(D950/C950,0)</f>
        <v>0.104545454545455</v>
      </c>
      <c r="N950" s="4" t="n">
        <f aca="false">IFERROR(E950/C950,0)</f>
        <v>0.414772727272727</v>
      </c>
      <c r="O950" s="5" t="n">
        <f aca="false">IFERROR(F950/MAX(C950-D950,1),0)</f>
        <v>3.4505076142132</v>
      </c>
      <c r="P950" s="5" t="n">
        <f aca="false">IFERROR(F950/C950,0)</f>
        <v>3.08977272727273</v>
      </c>
      <c r="Q950" s="5" t="n">
        <f aca="false">IFERROR(H950/C950,0)</f>
        <v>351.669318181818</v>
      </c>
      <c r="R950" s="4" t="n">
        <f aca="false">IFERROR(I950/F950,0)</f>
        <v>0.197866862817212</v>
      </c>
      <c r="S950" s="4" t="n">
        <f aca="false">IFERROR(K950/J950,0)</f>
        <v>0.192552127414019</v>
      </c>
      <c r="T950" s="6" t="s">
        <v>23</v>
      </c>
    </row>
    <row r="951" customFormat="false" ht="15" hidden="false" customHeight="false" outlineLevel="0" collapsed="false">
      <c r="A951" s="3" t="s">
        <v>984</v>
      </c>
      <c r="B951" s="3" t="s">
        <v>26</v>
      </c>
      <c r="C951" s="3" t="n">
        <v>1747</v>
      </c>
      <c r="D951" s="3" t="n">
        <v>234</v>
      </c>
      <c r="E951" s="3" t="n">
        <v>574</v>
      </c>
      <c r="F951" s="3" t="n">
        <v>5737</v>
      </c>
      <c r="G951" s="3" t="n">
        <v>13</v>
      </c>
      <c r="H951" s="3" t="n">
        <v>794776</v>
      </c>
      <c r="I951" s="3" t="n">
        <v>1121</v>
      </c>
      <c r="J951" s="3" t="n">
        <v>157459</v>
      </c>
      <c r="K951" s="3" t="n">
        <v>30273</v>
      </c>
      <c r="L951" s="3" t="n">
        <v>760</v>
      </c>
      <c r="M951" s="4" t="n">
        <f aca="false">IFERROR(D951/C951,0)</f>
        <v>0.133943903835146</v>
      </c>
      <c r="N951" s="4" t="n">
        <f aca="false">IFERROR(E951/C951,0)</f>
        <v>0.328563251287922</v>
      </c>
      <c r="O951" s="5" t="n">
        <f aca="false">IFERROR(F951/MAX(C951-D951,1),0)</f>
        <v>3.79180436219432</v>
      </c>
      <c r="P951" s="5" t="n">
        <f aca="false">IFERROR(F951/C951,0)</f>
        <v>3.28391528334287</v>
      </c>
      <c r="Q951" s="5" t="n">
        <f aca="false">IFERROR(H951/C951,0)</f>
        <v>454.937607326846</v>
      </c>
      <c r="R951" s="4" t="n">
        <f aca="false">IFERROR(I951/F951,0)</f>
        <v>0.195398291790134</v>
      </c>
      <c r="S951" s="4" t="n">
        <f aca="false">IFERROR(K951/J951,0)</f>
        <v>0.192259572333115</v>
      </c>
      <c r="T951" s="6" t="s">
        <v>23</v>
      </c>
    </row>
    <row r="952" customFormat="false" ht="15" hidden="false" customHeight="false" outlineLevel="0" collapsed="false">
      <c r="A952" s="3" t="s">
        <v>985</v>
      </c>
      <c r="B952" s="3" t="s">
        <v>22</v>
      </c>
      <c r="C952" s="3" t="n">
        <v>497</v>
      </c>
      <c r="D952" s="3" t="n">
        <v>10</v>
      </c>
      <c r="E952" s="3" t="n">
        <v>100</v>
      </c>
      <c r="F952" s="3" t="n">
        <v>679</v>
      </c>
      <c r="G952" s="3" t="n">
        <v>10</v>
      </c>
      <c r="H952" s="3" t="n">
        <v>193031.9</v>
      </c>
      <c r="I952" s="3" t="n">
        <v>89</v>
      </c>
      <c r="J952" s="3" t="n">
        <v>70907</v>
      </c>
      <c r="K952" s="3" t="n">
        <v>10384</v>
      </c>
      <c r="L952" s="3" t="n">
        <v>49</v>
      </c>
      <c r="M952" s="4" t="n">
        <f aca="false">IFERROR(D952/C952,0)</f>
        <v>0.0201207243460765</v>
      </c>
      <c r="N952" s="4" t="n">
        <f aca="false">IFERROR(E952/C952,0)</f>
        <v>0.201207243460765</v>
      </c>
      <c r="O952" s="5" t="n">
        <f aca="false">IFERROR(F952/MAX(C952-D952,1),0)</f>
        <v>1.39425051334702</v>
      </c>
      <c r="P952" s="5" t="n">
        <f aca="false">IFERROR(F952/C952,0)</f>
        <v>1.36619718309859</v>
      </c>
      <c r="Q952" s="5" t="n">
        <f aca="false">IFERROR(H952/C952,0)</f>
        <v>388.39416498994</v>
      </c>
      <c r="R952" s="4" t="n">
        <f aca="false">IFERROR(I952/F952,0)</f>
        <v>0.131075110456554</v>
      </c>
      <c r="S952" s="4" t="n">
        <f aca="false">IFERROR(K952/J952,0)</f>
        <v>0.146445343901166</v>
      </c>
      <c r="T952" s="6" t="s">
        <v>23</v>
      </c>
    </row>
    <row r="953" customFormat="false" ht="15" hidden="false" customHeight="false" outlineLevel="0" collapsed="false">
      <c r="A953" s="3" t="s">
        <v>986</v>
      </c>
      <c r="B953" s="3" t="s">
        <v>29</v>
      </c>
      <c r="C953" s="3" t="n">
        <v>660</v>
      </c>
      <c r="D953" s="3" t="n">
        <v>76</v>
      </c>
      <c r="E953" s="3" t="n">
        <v>257</v>
      </c>
      <c r="F953" s="3" t="n">
        <v>1864</v>
      </c>
      <c r="G953" s="3" t="n">
        <v>7</v>
      </c>
      <c r="H953" s="3" t="n">
        <v>320141.1</v>
      </c>
      <c r="I953" s="3" t="n">
        <v>342</v>
      </c>
      <c r="J953" s="3" t="n">
        <v>65687</v>
      </c>
      <c r="K953" s="3" t="n">
        <v>8681</v>
      </c>
      <c r="L953" s="3" t="n">
        <v>0</v>
      </c>
      <c r="M953" s="4" t="n">
        <f aca="false">IFERROR(D953/C953,0)</f>
        <v>0.115151515151515</v>
      </c>
      <c r="N953" s="4" t="n">
        <f aca="false">IFERROR(E953/C953,0)</f>
        <v>0.389393939393939</v>
      </c>
      <c r="O953" s="5" t="n">
        <f aca="false">IFERROR(F953/MAX(C953-D953,1),0)</f>
        <v>3.19178082191781</v>
      </c>
      <c r="P953" s="5" t="n">
        <f aca="false">IFERROR(F953/C953,0)</f>
        <v>2.82424242424242</v>
      </c>
      <c r="Q953" s="5" t="n">
        <f aca="false">IFERROR(H953/C953,0)</f>
        <v>485.062272727273</v>
      </c>
      <c r="R953" s="4" t="n">
        <f aca="false">IFERROR(I953/F953,0)</f>
        <v>0.183476394849785</v>
      </c>
      <c r="S953" s="4" t="n">
        <f aca="false">IFERROR(K953/J953,0)</f>
        <v>0.132157047817681</v>
      </c>
      <c r="T953" s="6" t="s">
        <v>23</v>
      </c>
    </row>
    <row r="954" customFormat="false" ht="15" hidden="false" customHeight="false" outlineLevel="0" collapsed="false">
      <c r="A954" s="3" t="s">
        <v>987</v>
      </c>
      <c r="B954" s="3" t="s">
        <v>26</v>
      </c>
      <c r="C954" s="3" t="n">
        <v>2805</v>
      </c>
      <c r="D954" s="3" t="n">
        <v>176</v>
      </c>
      <c r="E954" s="3" t="n">
        <v>874</v>
      </c>
      <c r="F954" s="3" t="n">
        <v>7186</v>
      </c>
      <c r="G954" s="3" t="n">
        <v>12</v>
      </c>
      <c r="H954" s="3" t="n">
        <v>875613</v>
      </c>
      <c r="I954" s="3" t="n">
        <v>1282</v>
      </c>
      <c r="J954" s="3" t="n">
        <v>228074</v>
      </c>
      <c r="K954" s="3" t="n">
        <v>21940</v>
      </c>
      <c r="L954" s="3" t="n">
        <v>336</v>
      </c>
      <c r="M954" s="4" t="n">
        <f aca="false">IFERROR(D954/C954,0)</f>
        <v>0.0627450980392157</v>
      </c>
      <c r="N954" s="4" t="n">
        <f aca="false">IFERROR(E954/C954,0)</f>
        <v>0.311586452762923</v>
      </c>
      <c r="O954" s="5" t="n">
        <f aca="false">IFERROR(F954/MAX(C954-D954,1),0)</f>
        <v>2.73335869151769</v>
      </c>
      <c r="P954" s="5" t="n">
        <f aca="false">IFERROR(F954/C954,0)</f>
        <v>2.56185383244207</v>
      </c>
      <c r="Q954" s="5" t="n">
        <f aca="false">IFERROR(H954/C954,0)</f>
        <v>312.161497326203</v>
      </c>
      <c r="R954" s="4" t="n">
        <f aca="false">IFERROR(I954/F954,0)</f>
        <v>0.178402449206791</v>
      </c>
      <c r="S954" s="4" t="n">
        <f aca="false">IFERROR(K954/J954,0)</f>
        <v>0.0961968483913116</v>
      </c>
      <c r="T954" s="6" t="s">
        <v>23</v>
      </c>
    </row>
    <row r="955" customFormat="false" ht="15" hidden="false" customHeight="false" outlineLevel="0" collapsed="false">
      <c r="A955" s="3" t="s">
        <v>988</v>
      </c>
      <c r="B955" s="3" t="s">
        <v>22</v>
      </c>
      <c r="C955" s="3" t="n">
        <v>2015</v>
      </c>
      <c r="D955" s="3" t="n">
        <v>162</v>
      </c>
      <c r="E955" s="3" t="n">
        <v>850</v>
      </c>
      <c r="F955" s="3" t="n">
        <v>3009</v>
      </c>
      <c r="G955" s="3" t="n">
        <v>7</v>
      </c>
      <c r="H955" s="3" t="n">
        <v>673568.1</v>
      </c>
      <c r="I955" s="3" t="n">
        <v>530</v>
      </c>
      <c r="J955" s="3" t="n">
        <v>219842</v>
      </c>
      <c r="K955" s="3" t="n">
        <v>24705</v>
      </c>
      <c r="L955" s="3" t="n">
        <v>303</v>
      </c>
      <c r="M955" s="4" t="n">
        <f aca="false">IFERROR(D955/C955,0)</f>
        <v>0.0803970223325062</v>
      </c>
      <c r="N955" s="4" t="n">
        <f aca="false">IFERROR(E955/C955,0)</f>
        <v>0.421836228287841</v>
      </c>
      <c r="O955" s="5" t="n">
        <f aca="false">IFERROR(F955/MAX(C955-D955,1),0)</f>
        <v>1.62385321100917</v>
      </c>
      <c r="P955" s="5" t="n">
        <f aca="false">IFERROR(F955/C955,0)</f>
        <v>1.49330024813896</v>
      </c>
      <c r="Q955" s="5" t="n">
        <f aca="false">IFERROR(H955/C955,0)</f>
        <v>334.276972704715</v>
      </c>
      <c r="R955" s="4" t="n">
        <f aca="false">IFERROR(I955/F955,0)</f>
        <v>0.176138251910934</v>
      </c>
      <c r="S955" s="4" t="n">
        <f aca="false">IFERROR(K955/J955,0)</f>
        <v>0.112376161061126</v>
      </c>
      <c r="T955" s="6" t="s">
        <v>23</v>
      </c>
    </row>
    <row r="956" customFormat="false" ht="15" hidden="false" customHeight="false" outlineLevel="0" collapsed="false">
      <c r="A956" s="3" t="s">
        <v>989</v>
      </c>
      <c r="B956" s="3" t="s">
        <v>26</v>
      </c>
      <c r="C956" s="3" t="n">
        <v>859</v>
      </c>
      <c r="D956" s="3" t="n">
        <v>45</v>
      </c>
      <c r="E956" s="3" t="n">
        <v>320</v>
      </c>
      <c r="F956" s="3" t="n">
        <v>796</v>
      </c>
      <c r="G956" s="3" t="n">
        <v>5</v>
      </c>
      <c r="H956" s="3" t="n">
        <v>266930.8</v>
      </c>
      <c r="I956" s="3" t="n">
        <v>142</v>
      </c>
      <c r="J956" s="3" t="n">
        <v>130560</v>
      </c>
      <c r="K956" s="3" t="n">
        <v>22377</v>
      </c>
      <c r="L956" s="3" t="n">
        <v>135</v>
      </c>
      <c r="M956" s="4" t="n">
        <f aca="false">IFERROR(D956/C956,0)</f>
        <v>0.0523864959254948</v>
      </c>
      <c r="N956" s="4" t="n">
        <f aca="false">IFERROR(E956/C956,0)</f>
        <v>0.372526193247963</v>
      </c>
      <c r="O956" s="5" t="n">
        <f aca="false">IFERROR(F956/MAX(C956-D956,1),0)</f>
        <v>0.977886977886978</v>
      </c>
      <c r="P956" s="5" t="n">
        <f aca="false">IFERROR(F956/C956,0)</f>
        <v>0.926658905704307</v>
      </c>
      <c r="Q956" s="5" t="n">
        <f aca="false">IFERROR(H956/C956,0)</f>
        <v>310.745983701979</v>
      </c>
      <c r="R956" s="4" t="n">
        <f aca="false">IFERROR(I956/F956,0)</f>
        <v>0.178391959798995</v>
      </c>
      <c r="S956" s="4" t="n">
        <f aca="false">IFERROR(K956/J956,0)</f>
        <v>0.171392463235294</v>
      </c>
      <c r="T956" s="6" t="s">
        <v>23</v>
      </c>
    </row>
    <row r="957" customFormat="false" ht="15" hidden="false" customHeight="false" outlineLevel="0" collapsed="false">
      <c r="A957" s="3" t="s">
        <v>990</v>
      </c>
      <c r="B957" s="3" t="s">
        <v>26</v>
      </c>
      <c r="C957" s="3" t="n">
        <v>3005</v>
      </c>
      <c r="D957" s="3" t="n">
        <v>206</v>
      </c>
      <c r="E957" s="3" t="n">
        <v>997</v>
      </c>
      <c r="F957" s="3" t="n">
        <v>5410</v>
      </c>
      <c r="G957" s="3" t="n">
        <v>7</v>
      </c>
      <c r="H957" s="3" t="n">
        <v>1316019.3</v>
      </c>
      <c r="I957" s="3" t="n">
        <v>671</v>
      </c>
      <c r="J957" s="3" t="n">
        <v>422170</v>
      </c>
      <c r="K957" s="3" t="n">
        <v>52755</v>
      </c>
      <c r="L957" s="3" t="n">
        <v>885</v>
      </c>
      <c r="M957" s="4" t="n">
        <f aca="false">IFERROR(D957/C957,0)</f>
        <v>0.0685524126455907</v>
      </c>
      <c r="N957" s="4" t="n">
        <f aca="false">IFERROR(E957/C957,0)</f>
        <v>0.331780366056572</v>
      </c>
      <c r="O957" s="5" t="n">
        <f aca="false">IFERROR(F957/MAX(C957-D957,1),0)</f>
        <v>1.93283315469811</v>
      </c>
      <c r="P957" s="5" t="n">
        <f aca="false">IFERROR(F957/C957,0)</f>
        <v>1.80033277870216</v>
      </c>
      <c r="Q957" s="5" t="n">
        <f aca="false">IFERROR(H957/C957,0)</f>
        <v>437.943194675541</v>
      </c>
      <c r="R957" s="4" t="n">
        <f aca="false">IFERROR(I957/F957,0)</f>
        <v>0.124029574861368</v>
      </c>
      <c r="S957" s="4" t="n">
        <f aca="false">IFERROR(K957/J957,0)</f>
        <v>0.124961508397091</v>
      </c>
      <c r="T957" s="6" t="s">
        <v>23</v>
      </c>
    </row>
    <row r="958" customFormat="false" ht="15" hidden="false" customHeight="false" outlineLevel="0" collapsed="false">
      <c r="A958" s="3" t="s">
        <v>991</v>
      </c>
      <c r="B958" s="3" t="s">
        <v>29</v>
      </c>
      <c r="C958" s="3" t="n">
        <v>1403</v>
      </c>
      <c r="D958" s="3" t="n">
        <v>176</v>
      </c>
      <c r="E958" s="3" t="n">
        <v>481</v>
      </c>
      <c r="F958" s="3" t="n">
        <v>1730</v>
      </c>
      <c r="G958" s="3" t="n">
        <v>6</v>
      </c>
      <c r="H958" s="3" t="n">
        <v>735590</v>
      </c>
      <c r="I958" s="3" t="n">
        <v>122</v>
      </c>
      <c r="J958" s="3" t="n">
        <v>225040</v>
      </c>
      <c r="K958" s="3" t="n">
        <v>44573</v>
      </c>
      <c r="L958" s="3" t="n">
        <v>0</v>
      </c>
      <c r="M958" s="4" t="n">
        <f aca="false">IFERROR(D958/C958,0)</f>
        <v>0.125445473984319</v>
      </c>
      <c r="N958" s="4" t="n">
        <f aca="false">IFERROR(E958/C958,0)</f>
        <v>0.342836778332145</v>
      </c>
      <c r="O958" s="5" t="n">
        <f aca="false">IFERROR(F958/MAX(C958-D958,1),0)</f>
        <v>1.40994295028525</v>
      </c>
      <c r="P958" s="5" t="n">
        <f aca="false">IFERROR(F958/C958,0)</f>
        <v>1.23307198859587</v>
      </c>
      <c r="Q958" s="5" t="n">
        <f aca="false">IFERROR(H958/C958,0)</f>
        <v>524.297933000713</v>
      </c>
      <c r="R958" s="4" t="n">
        <f aca="false">IFERROR(I958/F958,0)</f>
        <v>0.0705202312138728</v>
      </c>
      <c r="S958" s="4" t="n">
        <f aca="false">IFERROR(K958/J958,0)</f>
        <v>0.198067010309278</v>
      </c>
      <c r="T958" s="6" t="s">
        <v>23</v>
      </c>
    </row>
    <row r="959" customFormat="false" ht="15" hidden="false" customHeight="false" outlineLevel="0" collapsed="false">
      <c r="A959" s="9" t="s">
        <v>992</v>
      </c>
      <c r="B959" s="9" t="s">
        <v>29</v>
      </c>
      <c r="C959" s="9" t="n">
        <v>3664</v>
      </c>
      <c r="D959" s="9" t="n">
        <v>1308</v>
      </c>
      <c r="E959" s="9" t="n">
        <v>1985</v>
      </c>
      <c r="F959" s="9" t="n">
        <v>35123</v>
      </c>
      <c r="G959" s="9" t="n">
        <v>27</v>
      </c>
      <c r="H959" s="9" t="n">
        <v>4662284</v>
      </c>
      <c r="I959" s="9" t="n">
        <v>21131</v>
      </c>
      <c r="J959" s="9" t="n">
        <v>366535</v>
      </c>
      <c r="K959" s="9" t="n">
        <v>264454</v>
      </c>
      <c r="L959" s="9" t="n">
        <v>0</v>
      </c>
      <c r="M959" s="10" t="n">
        <f aca="false">IFERROR(D959/C959,0)</f>
        <v>0.356986899563319</v>
      </c>
      <c r="N959" s="10" t="n">
        <f aca="false">IFERROR(E959/C959,0)</f>
        <v>0.541757641921397</v>
      </c>
      <c r="O959" s="11" t="n">
        <f aca="false">IFERROR(F959/MAX(C959-D959,1),0)</f>
        <v>14.9078947368421</v>
      </c>
      <c r="P959" s="11" t="n">
        <f aca="false">IFERROR(F959/C959,0)</f>
        <v>9.58597161572052</v>
      </c>
      <c r="Q959" s="11" t="n">
        <f aca="false">IFERROR(H959/C959,0)</f>
        <v>1272.45742358079</v>
      </c>
      <c r="R959" s="10" t="n">
        <f aca="false">IFERROR(I959/F959,0)</f>
        <v>0.601628562480426</v>
      </c>
      <c r="S959" s="10" t="n">
        <f aca="false">IFERROR(K959/J959,0)</f>
        <v>0.721497264926951</v>
      </c>
      <c r="T959" s="12" t="s">
        <v>30</v>
      </c>
    </row>
    <row r="960" customFormat="false" ht="15" hidden="false" customHeight="false" outlineLevel="0" collapsed="false">
      <c r="A960" s="9" t="s">
        <v>993</v>
      </c>
      <c r="B960" s="9" t="s">
        <v>29</v>
      </c>
      <c r="C960" s="9" t="n">
        <v>2866</v>
      </c>
      <c r="D960" s="9" t="n">
        <v>508</v>
      </c>
      <c r="E960" s="9" t="n">
        <v>1193</v>
      </c>
      <c r="F960" s="9" t="n">
        <v>15048</v>
      </c>
      <c r="G960" s="9" t="n">
        <v>17</v>
      </c>
      <c r="H960" s="9" t="n">
        <v>2562127.4</v>
      </c>
      <c r="I960" s="9" t="n">
        <v>13901</v>
      </c>
      <c r="J960" s="9" t="n">
        <v>329693</v>
      </c>
      <c r="K960" s="9" t="n">
        <v>187997</v>
      </c>
      <c r="L960" s="9" t="n">
        <v>0</v>
      </c>
      <c r="M960" s="10" t="n">
        <f aca="false">IFERROR(D960/C960,0)</f>
        <v>0.17725052337753</v>
      </c>
      <c r="N960" s="10" t="n">
        <f aca="false">IFERROR(E960/C960,0)</f>
        <v>0.41625959525471</v>
      </c>
      <c r="O960" s="11" t="n">
        <f aca="false">IFERROR(F960/MAX(C960-D960,1),0)</f>
        <v>6.38167938931298</v>
      </c>
      <c r="P960" s="11" t="n">
        <f aca="false">IFERROR(F960/C960,0)</f>
        <v>5.25052337752966</v>
      </c>
      <c r="Q960" s="11" t="n">
        <f aca="false">IFERROR(H960/C960,0)</f>
        <v>893.973272854152</v>
      </c>
      <c r="R960" s="10" t="n">
        <f aca="false">IFERROR(I960/F960,0)</f>
        <v>0.923777246145667</v>
      </c>
      <c r="S960" s="10" t="n">
        <f aca="false">IFERROR(K960/J960,0)</f>
        <v>0.570218354651145</v>
      </c>
      <c r="T960" s="12" t="s">
        <v>30</v>
      </c>
    </row>
    <row r="961" customFormat="false" ht="15" hidden="false" customHeight="false" outlineLevel="0" collapsed="false">
      <c r="A961" s="3" t="s">
        <v>994</v>
      </c>
      <c r="B961" s="3" t="s">
        <v>29</v>
      </c>
      <c r="C961" s="3" t="n">
        <v>443</v>
      </c>
      <c r="D961" s="3" t="n">
        <v>20</v>
      </c>
      <c r="E961" s="3" t="n">
        <v>175</v>
      </c>
      <c r="F961" s="3" t="n">
        <v>704</v>
      </c>
      <c r="G961" s="3" t="n">
        <v>11</v>
      </c>
      <c r="H961" s="3" t="n">
        <v>159357.1</v>
      </c>
      <c r="I961" s="3" t="n">
        <v>109</v>
      </c>
      <c r="J961" s="3" t="n">
        <v>62494</v>
      </c>
      <c r="K961" s="3" t="n">
        <v>13376</v>
      </c>
      <c r="L961" s="3" t="n">
        <v>0</v>
      </c>
      <c r="M961" s="4" t="n">
        <f aca="false">IFERROR(D961/C961,0)</f>
        <v>0.0451467268623025</v>
      </c>
      <c r="N961" s="4" t="n">
        <f aca="false">IFERROR(E961/C961,0)</f>
        <v>0.395033860045147</v>
      </c>
      <c r="O961" s="5" t="n">
        <f aca="false">IFERROR(F961/MAX(C961-D961,1),0)</f>
        <v>1.66430260047281</v>
      </c>
      <c r="P961" s="5" t="n">
        <f aca="false">IFERROR(F961/C961,0)</f>
        <v>1.58916478555305</v>
      </c>
      <c r="Q961" s="5" t="n">
        <f aca="false">IFERROR(H961/C961,0)</f>
        <v>359.722573363431</v>
      </c>
      <c r="R961" s="4" t="n">
        <f aca="false">IFERROR(I961/F961,0)</f>
        <v>0.154829545454545</v>
      </c>
      <c r="S961" s="4" t="n">
        <f aca="false">IFERROR(K961/J961,0)</f>
        <v>0.214036547508561</v>
      </c>
      <c r="T961" s="6" t="s">
        <v>23</v>
      </c>
    </row>
    <row r="962" customFormat="false" ht="15" hidden="false" customHeight="false" outlineLevel="0" collapsed="false">
      <c r="A962" s="3" t="s">
        <v>995</v>
      </c>
      <c r="B962" s="3" t="s">
        <v>22</v>
      </c>
      <c r="C962" s="3" t="n">
        <v>3975</v>
      </c>
      <c r="D962" s="3" t="n">
        <v>455</v>
      </c>
      <c r="E962" s="3" t="n">
        <v>1770</v>
      </c>
      <c r="F962" s="3" t="n">
        <v>10379</v>
      </c>
      <c r="G962" s="3" t="n">
        <v>9</v>
      </c>
      <c r="H962" s="3" t="n">
        <v>2407680.3</v>
      </c>
      <c r="I962" s="3" t="n">
        <v>2253</v>
      </c>
      <c r="J962" s="3" t="n">
        <v>286663</v>
      </c>
      <c r="K962" s="3" t="n">
        <v>60460</v>
      </c>
      <c r="L962" s="3" t="n">
        <v>560</v>
      </c>
      <c r="M962" s="4" t="n">
        <f aca="false">IFERROR(D962/C962,0)</f>
        <v>0.114465408805031</v>
      </c>
      <c r="N962" s="4" t="n">
        <f aca="false">IFERROR(E962/C962,0)</f>
        <v>0.445283018867925</v>
      </c>
      <c r="O962" s="5" t="n">
        <f aca="false">IFERROR(F962/MAX(C962-D962,1),0)</f>
        <v>2.94857954545455</v>
      </c>
      <c r="P962" s="5" t="n">
        <f aca="false">IFERROR(F962/C962,0)</f>
        <v>2.61106918238994</v>
      </c>
      <c r="Q962" s="5" t="n">
        <f aca="false">IFERROR(H962/C962,0)</f>
        <v>605.705735849057</v>
      </c>
      <c r="R962" s="4" t="n">
        <f aca="false">IFERROR(I962/F962,0)</f>
        <v>0.21707293573562</v>
      </c>
      <c r="S962" s="4" t="n">
        <f aca="false">IFERROR(K962/J962,0)</f>
        <v>0.210909674426068</v>
      </c>
      <c r="T962" s="6" t="s">
        <v>23</v>
      </c>
    </row>
    <row r="963" customFormat="false" ht="15" hidden="false" customHeight="false" outlineLevel="0" collapsed="false">
      <c r="A963" s="3" t="s">
        <v>996</v>
      </c>
      <c r="B963" s="3" t="s">
        <v>29</v>
      </c>
      <c r="C963" s="3" t="n">
        <v>980</v>
      </c>
      <c r="D963" s="3" t="n">
        <v>23</v>
      </c>
      <c r="E963" s="3" t="n">
        <v>213</v>
      </c>
      <c r="F963" s="3" t="n">
        <v>1442</v>
      </c>
      <c r="G963" s="3" t="n">
        <v>6</v>
      </c>
      <c r="H963" s="3" t="n">
        <v>265607.5</v>
      </c>
      <c r="I963" s="3" t="n">
        <v>203</v>
      </c>
      <c r="J963" s="3" t="n">
        <v>172202</v>
      </c>
      <c r="K963" s="3" t="n">
        <v>40390</v>
      </c>
      <c r="L963" s="3" t="n">
        <v>0</v>
      </c>
      <c r="M963" s="4" t="n">
        <f aca="false">IFERROR(D963/C963,0)</f>
        <v>0.023469387755102</v>
      </c>
      <c r="N963" s="4" t="n">
        <f aca="false">IFERROR(E963/C963,0)</f>
        <v>0.21734693877551</v>
      </c>
      <c r="O963" s="5" t="n">
        <f aca="false">IFERROR(F963/MAX(C963-D963,1),0)</f>
        <v>1.5067920585162</v>
      </c>
      <c r="P963" s="5" t="n">
        <f aca="false">IFERROR(F963/C963,0)</f>
        <v>1.47142857142857</v>
      </c>
      <c r="Q963" s="5" t="n">
        <f aca="false">IFERROR(H963/C963,0)</f>
        <v>271.02806122449</v>
      </c>
      <c r="R963" s="4" t="n">
        <f aca="false">IFERROR(I963/F963,0)</f>
        <v>0.140776699029126</v>
      </c>
      <c r="S963" s="4" t="n">
        <f aca="false">IFERROR(K963/J963,0)</f>
        <v>0.23455012136909</v>
      </c>
      <c r="T963" s="6" t="s">
        <v>23</v>
      </c>
    </row>
    <row r="964" customFormat="false" ht="15" hidden="false" customHeight="false" outlineLevel="0" collapsed="false">
      <c r="A964" s="9" t="s">
        <v>997</v>
      </c>
      <c r="B964" s="9" t="s">
        <v>22</v>
      </c>
      <c r="C964" s="9" t="n">
        <v>556</v>
      </c>
      <c r="D964" s="9" t="n">
        <v>160</v>
      </c>
      <c r="E964" s="9" t="n">
        <v>325</v>
      </c>
      <c r="F964" s="9" t="n">
        <v>3171</v>
      </c>
      <c r="G964" s="9" t="n">
        <v>20</v>
      </c>
      <c r="H964" s="9" t="n">
        <v>526061.1</v>
      </c>
      <c r="I964" s="9" t="n">
        <v>1969</v>
      </c>
      <c r="J964" s="9" t="n">
        <v>93634</v>
      </c>
      <c r="K964" s="9" t="n">
        <v>32772</v>
      </c>
      <c r="L964" s="9" t="n">
        <v>59</v>
      </c>
      <c r="M964" s="10" t="n">
        <f aca="false">IFERROR(D964/C964,0)</f>
        <v>0.287769784172662</v>
      </c>
      <c r="N964" s="10" t="n">
        <f aca="false">IFERROR(E964/C964,0)</f>
        <v>0.58453237410072</v>
      </c>
      <c r="O964" s="11" t="n">
        <f aca="false">IFERROR(F964/MAX(C964-D964,1),0)</f>
        <v>8.00757575757576</v>
      </c>
      <c r="P964" s="11" t="n">
        <f aca="false">IFERROR(F964/C964,0)</f>
        <v>5.70323741007194</v>
      </c>
      <c r="Q964" s="11" t="n">
        <f aca="false">IFERROR(H964/C964,0)</f>
        <v>946.153057553957</v>
      </c>
      <c r="R964" s="10" t="n">
        <f aca="false">IFERROR(I964/F964,0)</f>
        <v>0.620939766635131</v>
      </c>
      <c r="S964" s="10" t="n">
        <f aca="false">IFERROR(K964/J964,0)</f>
        <v>0.350001067988124</v>
      </c>
      <c r="T964" s="12" t="s">
        <v>30</v>
      </c>
    </row>
    <row r="965" customFormat="false" ht="15" hidden="false" customHeight="false" outlineLevel="0" collapsed="false">
      <c r="A965" s="3" t="s">
        <v>998</v>
      </c>
      <c r="B965" s="3" t="s">
        <v>29</v>
      </c>
      <c r="C965" s="3" t="n">
        <v>2611</v>
      </c>
      <c r="D965" s="3" t="n">
        <v>399</v>
      </c>
      <c r="E965" s="3" t="n">
        <v>1255</v>
      </c>
      <c r="F965" s="3" t="n">
        <v>7651</v>
      </c>
      <c r="G965" s="3" t="n">
        <v>12</v>
      </c>
      <c r="H965" s="3" t="n">
        <v>1395141</v>
      </c>
      <c r="I965" s="3" t="n">
        <v>890</v>
      </c>
      <c r="J965" s="3" t="n">
        <v>293155</v>
      </c>
      <c r="K965" s="3" t="n">
        <v>59854</v>
      </c>
      <c r="L965" s="3" t="n">
        <v>0</v>
      </c>
      <c r="M965" s="4" t="n">
        <f aca="false">IFERROR(D965/C965,0)</f>
        <v>0.152815013404826</v>
      </c>
      <c r="N965" s="4" t="n">
        <f aca="false">IFERROR(E965/C965,0)</f>
        <v>0.480658751436231</v>
      </c>
      <c r="O965" s="5" t="n">
        <f aca="false">IFERROR(F965/MAX(C965-D965,1),0)</f>
        <v>3.45886075949367</v>
      </c>
      <c r="P965" s="5" t="n">
        <f aca="false">IFERROR(F965/C965,0)</f>
        <v>2.93029490616622</v>
      </c>
      <c r="Q965" s="5" t="n">
        <f aca="false">IFERROR(H965/C965,0)</f>
        <v>534.332056683263</v>
      </c>
      <c r="R965" s="4" t="n">
        <f aca="false">IFERROR(I965/F965,0)</f>
        <v>0.116324663442687</v>
      </c>
      <c r="S965" s="4" t="n">
        <f aca="false">IFERROR(K965/J965,0)</f>
        <v>0.204171854479712</v>
      </c>
      <c r="T965" s="6" t="s">
        <v>23</v>
      </c>
    </row>
    <row r="966" customFormat="false" ht="15" hidden="false" customHeight="false" outlineLevel="0" collapsed="false">
      <c r="A966" s="3" t="s">
        <v>999</v>
      </c>
      <c r="B966" s="3" t="s">
        <v>29</v>
      </c>
      <c r="C966" s="3" t="n">
        <v>905</v>
      </c>
      <c r="D966" s="3" t="n">
        <v>33</v>
      </c>
      <c r="E966" s="3" t="n">
        <v>322</v>
      </c>
      <c r="F966" s="3" t="n">
        <v>1598</v>
      </c>
      <c r="G966" s="3" t="n">
        <v>4</v>
      </c>
      <c r="H966" s="3" t="n">
        <v>361070.7</v>
      </c>
      <c r="I966" s="3" t="n">
        <v>266</v>
      </c>
      <c r="J966" s="3" t="n">
        <v>104115</v>
      </c>
      <c r="K966" s="3" t="n">
        <v>16717</v>
      </c>
      <c r="L966" s="3" t="n">
        <v>0</v>
      </c>
      <c r="M966" s="4" t="n">
        <f aca="false">IFERROR(D966/C966,0)</f>
        <v>0.0364640883977901</v>
      </c>
      <c r="N966" s="4" t="n">
        <f aca="false">IFERROR(E966/C966,0)</f>
        <v>0.355801104972376</v>
      </c>
      <c r="O966" s="5" t="n">
        <f aca="false">IFERROR(F966/MAX(C966-D966,1),0)</f>
        <v>1.83256880733945</v>
      </c>
      <c r="P966" s="5" t="n">
        <f aca="false">IFERROR(F966/C966,0)</f>
        <v>1.76574585635359</v>
      </c>
      <c r="Q966" s="5" t="n">
        <f aca="false">IFERROR(H966/C966,0)</f>
        <v>398.973149171271</v>
      </c>
      <c r="R966" s="4" t="n">
        <f aca="false">IFERROR(I966/F966,0)</f>
        <v>0.166458072590738</v>
      </c>
      <c r="S966" s="4" t="n">
        <f aca="false">IFERROR(K966/J966,0)</f>
        <v>0.160562839168227</v>
      </c>
      <c r="T966" s="6" t="s">
        <v>23</v>
      </c>
    </row>
    <row r="967" customFormat="false" ht="15" hidden="false" customHeight="false" outlineLevel="0" collapsed="false">
      <c r="A967" s="3" t="s">
        <v>1000</v>
      </c>
      <c r="B967" s="3" t="s">
        <v>22</v>
      </c>
      <c r="C967" s="3" t="n">
        <v>579</v>
      </c>
      <c r="D967" s="3" t="n">
        <v>44</v>
      </c>
      <c r="E967" s="3" t="n">
        <v>196</v>
      </c>
      <c r="F967" s="3" t="n">
        <v>998</v>
      </c>
      <c r="G967" s="3" t="n">
        <v>5</v>
      </c>
      <c r="H967" s="3" t="n">
        <v>191377.8</v>
      </c>
      <c r="I967" s="3" t="n">
        <v>203</v>
      </c>
      <c r="J967" s="3" t="n">
        <v>68911</v>
      </c>
      <c r="K967" s="3" t="n">
        <v>9770</v>
      </c>
      <c r="L967" s="3" t="n">
        <v>164</v>
      </c>
      <c r="M967" s="4" t="n">
        <f aca="false">IFERROR(D967/C967,0)</f>
        <v>0.075993091537133</v>
      </c>
      <c r="N967" s="4" t="n">
        <f aca="false">IFERROR(E967/C967,0)</f>
        <v>0.338514680483592</v>
      </c>
      <c r="O967" s="5" t="n">
        <f aca="false">IFERROR(F967/MAX(C967-D967,1),0)</f>
        <v>1.86542056074766</v>
      </c>
      <c r="P967" s="5" t="n">
        <f aca="false">IFERROR(F967/C967,0)</f>
        <v>1.72366148531952</v>
      </c>
      <c r="Q967" s="5" t="n">
        <f aca="false">IFERROR(H967/C967,0)</f>
        <v>330.531606217617</v>
      </c>
      <c r="R967" s="4" t="n">
        <f aca="false">IFERROR(I967/F967,0)</f>
        <v>0.203406813627255</v>
      </c>
      <c r="S967" s="4" t="n">
        <f aca="false">IFERROR(K967/J967,0)</f>
        <v>0.141777074777612</v>
      </c>
      <c r="T967" s="6" t="s">
        <v>23</v>
      </c>
    </row>
    <row r="968" customFormat="false" ht="15" hidden="false" customHeight="false" outlineLevel="0" collapsed="false">
      <c r="A968" s="9" t="s">
        <v>1001</v>
      </c>
      <c r="B968" s="9" t="s">
        <v>29</v>
      </c>
      <c r="C968" s="9" t="n">
        <v>2876</v>
      </c>
      <c r="D968" s="9" t="n">
        <v>772</v>
      </c>
      <c r="E968" s="9" t="n">
        <v>1386</v>
      </c>
      <c r="F968" s="9" t="n">
        <v>28601</v>
      </c>
      <c r="G968" s="9" t="n">
        <v>29</v>
      </c>
      <c r="H968" s="9" t="n">
        <v>3052317.1</v>
      </c>
      <c r="I968" s="9" t="n">
        <v>22206</v>
      </c>
      <c r="J968" s="9" t="n">
        <v>408758</v>
      </c>
      <c r="K968" s="9" t="n">
        <v>296278</v>
      </c>
      <c r="L968" s="9" t="n">
        <v>0</v>
      </c>
      <c r="M968" s="10" t="n">
        <f aca="false">IFERROR(D968/C968,0)</f>
        <v>0.268428372739917</v>
      </c>
      <c r="N968" s="10" t="n">
        <f aca="false">IFERROR(E968/C968,0)</f>
        <v>0.48191933240612</v>
      </c>
      <c r="O968" s="11" t="n">
        <f aca="false">IFERROR(F968/MAX(C968-D968,1),0)</f>
        <v>13.5936311787072</v>
      </c>
      <c r="P968" s="11" t="n">
        <f aca="false">IFERROR(F968/C968,0)</f>
        <v>9.94471488178025</v>
      </c>
      <c r="Q968" s="11" t="n">
        <f aca="false">IFERROR(H968/C968,0)</f>
        <v>1061.30636300417</v>
      </c>
      <c r="R968" s="10" t="n">
        <f aca="false">IFERROR(I968/F968,0)</f>
        <v>0.776406419355967</v>
      </c>
      <c r="S968" s="10" t="n">
        <f aca="false">IFERROR(K968/J968,0)</f>
        <v>0.724824957554348</v>
      </c>
      <c r="T968" s="12" t="s">
        <v>30</v>
      </c>
    </row>
    <row r="969" customFormat="false" ht="15" hidden="false" customHeight="false" outlineLevel="0" collapsed="false">
      <c r="A969" s="3" t="s">
        <v>1002</v>
      </c>
      <c r="B969" s="3" t="s">
        <v>22</v>
      </c>
      <c r="C969" s="3" t="n">
        <v>2928</v>
      </c>
      <c r="D969" s="3" t="n">
        <v>147</v>
      </c>
      <c r="E969" s="3" t="n">
        <v>881</v>
      </c>
      <c r="F969" s="3" t="n">
        <v>5161</v>
      </c>
      <c r="G969" s="3" t="n">
        <v>7</v>
      </c>
      <c r="H969" s="3" t="n">
        <v>1072533</v>
      </c>
      <c r="I969" s="3" t="n">
        <v>921</v>
      </c>
      <c r="J969" s="3" t="n">
        <v>384653</v>
      </c>
      <c r="K969" s="3" t="n">
        <v>50345</v>
      </c>
      <c r="L969" s="3" t="n">
        <v>291</v>
      </c>
      <c r="M969" s="4" t="n">
        <f aca="false">IFERROR(D969/C969,0)</f>
        <v>0.0502049180327869</v>
      </c>
      <c r="N969" s="4" t="n">
        <f aca="false">IFERROR(E969/C969,0)</f>
        <v>0.300887978142077</v>
      </c>
      <c r="O969" s="5" t="n">
        <f aca="false">IFERROR(F969/MAX(C969-D969,1),0)</f>
        <v>1.85580726357425</v>
      </c>
      <c r="P969" s="5" t="n">
        <f aca="false">IFERROR(F969/C969,0)</f>
        <v>1.76263661202186</v>
      </c>
      <c r="Q969" s="5" t="n">
        <f aca="false">IFERROR(H969/C969,0)</f>
        <v>366.302254098361</v>
      </c>
      <c r="R969" s="4" t="n">
        <f aca="false">IFERROR(I969/F969,0)</f>
        <v>0.178453788025576</v>
      </c>
      <c r="S969" s="4" t="n">
        <f aca="false">IFERROR(K969/J969,0)</f>
        <v>0.130884199525286</v>
      </c>
      <c r="T969" s="6" t="s">
        <v>23</v>
      </c>
    </row>
    <row r="970" customFormat="false" ht="15" hidden="false" customHeight="false" outlineLevel="0" collapsed="false">
      <c r="A970" s="3" t="s">
        <v>1003</v>
      </c>
      <c r="B970" s="3" t="s">
        <v>29</v>
      </c>
      <c r="C970" s="3" t="n">
        <v>2494</v>
      </c>
      <c r="D970" s="3" t="n">
        <v>147</v>
      </c>
      <c r="E970" s="3" t="n">
        <v>883</v>
      </c>
      <c r="F970" s="3" t="n">
        <v>1859</v>
      </c>
      <c r="G970" s="3" t="n">
        <v>6</v>
      </c>
      <c r="H970" s="3" t="n">
        <v>806000.4</v>
      </c>
      <c r="I970" s="3" t="n">
        <v>322</v>
      </c>
      <c r="J970" s="3" t="n">
        <v>470748</v>
      </c>
      <c r="K970" s="3" t="n">
        <v>67284</v>
      </c>
      <c r="L970" s="3" t="n">
        <v>0</v>
      </c>
      <c r="M970" s="4" t="n">
        <f aca="false">IFERROR(D970/C970,0)</f>
        <v>0.0589414595028067</v>
      </c>
      <c r="N970" s="4" t="n">
        <f aca="false">IFERROR(E970/C970,0)</f>
        <v>0.354049719326383</v>
      </c>
      <c r="O970" s="5" t="n">
        <f aca="false">IFERROR(F970/MAX(C970-D970,1),0)</f>
        <v>0.792074989348104</v>
      </c>
      <c r="P970" s="5" t="n">
        <f aca="false">IFERROR(F970/C970,0)</f>
        <v>0.745388933440257</v>
      </c>
      <c r="Q970" s="5" t="n">
        <f aca="false">IFERROR(H970/C970,0)</f>
        <v>323.175781876504</v>
      </c>
      <c r="R970" s="4" t="n">
        <f aca="false">IFERROR(I970/F970,0)</f>
        <v>0.173211403980635</v>
      </c>
      <c r="S970" s="4" t="n">
        <f aca="false">IFERROR(K970/J970,0)</f>
        <v>0.142929975273395</v>
      </c>
      <c r="T970" s="6" t="s">
        <v>23</v>
      </c>
    </row>
    <row r="971" customFormat="false" ht="15" hidden="false" customHeight="false" outlineLevel="0" collapsed="false">
      <c r="A971" s="3" t="s">
        <v>1004</v>
      </c>
      <c r="B971" s="3" t="s">
        <v>26</v>
      </c>
      <c r="C971" s="3" t="n">
        <v>1760</v>
      </c>
      <c r="D971" s="3" t="n">
        <v>53</v>
      </c>
      <c r="E971" s="3" t="n">
        <v>429</v>
      </c>
      <c r="F971" s="3" t="n">
        <v>2217</v>
      </c>
      <c r="G971" s="3" t="n">
        <v>3</v>
      </c>
      <c r="H971" s="3" t="n">
        <v>878578.3</v>
      </c>
      <c r="I971" s="3" t="n">
        <v>402</v>
      </c>
      <c r="J971" s="3" t="n">
        <v>171811</v>
      </c>
      <c r="K971" s="3" t="n">
        <v>32494</v>
      </c>
      <c r="L971" s="3" t="n">
        <v>390</v>
      </c>
      <c r="M971" s="4" t="n">
        <f aca="false">IFERROR(D971/C971,0)</f>
        <v>0.0301136363636364</v>
      </c>
      <c r="N971" s="4" t="n">
        <f aca="false">IFERROR(E971/C971,0)</f>
        <v>0.24375</v>
      </c>
      <c r="O971" s="5" t="n">
        <f aca="false">IFERROR(F971/MAX(C971-D971,1),0)</f>
        <v>1.298769771529</v>
      </c>
      <c r="P971" s="5" t="n">
        <f aca="false">IFERROR(F971/C971,0)</f>
        <v>1.25965909090909</v>
      </c>
      <c r="Q971" s="5" t="n">
        <f aca="false">IFERROR(H971/C971,0)</f>
        <v>499.192215909091</v>
      </c>
      <c r="R971" s="4" t="n">
        <f aca="false">IFERROR(I971/F971,0)</f>
        <v>0.181326116373478</v>
      </c>
      <c r="S971" s="4" t="n">
        <f aca="false">IFERROR(K971/J971,0)</f>
        <v>0.1891264238029</v>
      </c>
      <c r="T971" s="6" t="s">
        <v>23</v>
      </c>
    </row>
    <row r="972" customFormat="false" ht="15" hidden="false" customHeight="false" outlineLevel="0" collapsed="false">
      <c r="A972" s="3" t="s">
        <v>1005</v>
      </c>
      <c r="B972" s="3" t="s">
        <v>22</v>
      </c>
      <c r="C972" s="3" t="n">
        <v>3302</v>
      </c>
      <c r="D972" s="3" t="n">
        <v>220</v>
      </c>
      <c r="E972" s="3" t="n">
        <v>942</v>
      </c>
      <c r="F972" s="3" t="n">
        <v>5196</v>
      </c>
      <c r="G972" s="3" t="n">
        <v>4</v>
      </c>
      <c r="H972" s="3" t="n">
        <v>1020400.6</v>
      </c>
      <c r="I972" s="3" t="n">
        <v>461</v>
      </c>
      <c r="J972" s="3" t="n">
        <v>540164</v>
      </c>
      <c r="K972" s="3" t="n">
        <v>98494</v>
      </c>
      <c r="L972" s="3" t="n">
        <v>800</v>
      </c>
      <c r="M972" s="4" t="n">
        <f aca="false">IFERROR(D972/C972,0)</f>
        <v>0.0666262870987281</v>
      </c>
      <c r="N972" s="4" t="n">
        <f aca="false">IFERROR(E972/C972,0)</f>
        <v>0.285281647486372</v>
      </c>
      <c r="O972" s="5" t="n">
        <f aca="false">IFERROR(F972/MAX(C972-D972,1),0)</f>
        <v>1.68591823491239</v>
      </c>
      <c r="P972" s="5" t="n">
        <f aca="false">IFERROR(F972/C972,0)</f>
        <v>1.57359176256814</v>
      </c>
      <c r="Q972" s="5" t="n">
        <f aca="false">IFERROR(H972/C972,0)</f>
        <v>309.025015142338</v>
      </c>
      <c r="R972" s="4" t="n">
        <f aca="false">IFERROR(I972/F972,0)</f>
        <v>0.0887220939183988</v>
      </c>
      <c r="S972" s="4" t="n">
        <f aca="false">IFERROR(K972/J972,0)</f>
        <v>0.182340918683955</v>
      </c>
      <c r="T972" s="6" t="s">
        <v>23</v>
      </c>
    </row>
    <row r="973" customFormat="false" ht="15" hidden="false" customHeight="false" outlineLevel="0" collapsed="false">
      <c r="A973" s="3" t="s">
        <v>1006</v>
      </c>
      <c r="B973" s="3" t="s">
        <v>29</v>
      </c>
      <c r="C973" s="3" t="n">
        <v>1936</v>
      </c>
      <c r="D973" s="3" t="n">
        <v>126</v>
      </c>
      <c r="E973" s="3" t="n">
        <v>671</v>
      </c>
      <c r="F973" s="3" t="n">
        <v>2706</v>
      </c>
      <c r="G973" s="3" t="n">
        <v>8</v>
      </c>
      <c r="H973" s="3" t="n">
        <v>797677.7</v>
      </c>
      <c r="I973" s="3" t="n">
        <v>410</v>
      </c>
      <c r="J973" s="3" t="n">
        <v>157729</v>
      </c>
      <c r="K973" s="3" t="n">
        <v>30001</v>
      </c>
      <c r="L973" s="3" t="n">
        <v>0</v>
      </c>
      <c r="M973" s="4" t="n">
        <f aca="false">IFERROR(D973/C973,0)</f>
        <v>0.0650826446280992</v>
      </c>
      <c r="N973" s="4" t="n">
        <f aca="false">IFERROR(E973/C973,0)</f>
        <v>0.346590909090909</v>
      </c>
      <c r="O973" s="5" t="n">
        <f aca="false">IFERROR(F973/MAX(C973-D973,1),0)</f>
        <v>1.49502762430939</v>
      </c>
      <c r="P973" s="5" t="n">
        <f aca="false">IFERROR(F973/C973,0)</f>
        <v>1.39772727272727</v>
      </c>
      <c r="Q973" s="5" t="n">
        <f aca="false">IFERROR(H973/C973,0)</f>
        <v>412.023605371901</v>
      </c>
      <c r="R973" s="4" t="n">
        <f aca="false">IFERROR(I973/F973,0)</f>
        <v>0.151515151515152</v>
      </c>
      <c r="S973" s="4" t="n">
        <f aca="false">IFERROR(K973/J973,0)</f>
        <v>0.190205986216866</v>
      </c>
      <c r="T973" s="6" t="s">
        <v>23</v>
      </c>
    </row>
    <row r="974" customFormat="false" ht="15" hidden="false" customHeight="false" outlineLevel="0" collapsed="false">
      <c r="A974" s="9" t="s">
        <v>1007</v>
      </c>
      <c r="B974" s="9" t="s">
        <v>29</v>
      </c>
      <c r="C974" s="9" t="n">
        <v>903</v>
      </c>
      <c r="D974" s="9" t="n">
        <v>246</v>
      </c>
      <c r="E974" s="9" t="n">
        <v>468</v>
      </c>
      <c r="F974" s="9" t="n">
        <v>5928</v>
      </c>
      <c r="G974" s="9" t="n">
        <v>18</v>
      </c>
      <c r="H974" s="9" t="n">
        <v>738122</v>
      </c>
      <c r="I974" s="9" t="n">
        <v>3507</v>
      </c>
      <c r="J974" s="9" t="n">
        <v>94634</v>
      </c>
      <c r="K974" s="9" t="n">
        <v>78379</v>
      </c>
      <c r="L974" s="9" t="n">
        <v>0</v>
      </c>
      <c r="M974" s="10" t="n">
        <f aca="false">IFERROR(D974/C974,0)</f>
        <v>0.272425249169435</v>
      </c>
      <c r="N974" s="10" t="n">
        <f aca="false">IFERROR(E974/C974,0)</f>
        <v>0.518272425249169</v>
      </c>
      <c r="O974" s="11" t="n">
        <f aca="false">IFERROR(F974/MAX(C974-D974,1),0)</f>
        <v>9.02283105022831</v>
      </c>
      <c r="P974" s="11" t="n">
        <f aca="false">IFERROR(F974/C974,0)</f>
        <v>6.56478405315615</v>
      </c>
      <c r="Q974" s="11" t="n">
        <f aca="false">IFERROR(H974/C974,0)</f>
        <v>817.410852713178</v>
      </c>
      <c r="R974" s="10" t="n">
        <f aca="false">IFERROR(I974/F974,0)</f>
        <v>0.591599190283401</v>
      </c>
      <c r="S974" s="10" t="n">
        <f aca="false">IFERROR(K974/J974,0)</f>
        <v>0.82823298180358</v>
      </c>
      <c r="T974" s="12" t="s">
        <v>30</v>
      </c>
    </row>
    <row r="975" customFormat="false" ht="15" hidden="false" customHeight="false" outlineLevel="0" collapsed="false">
      <c r="A975" s="3" t="s">
        <v>1008</v>
      </c>
      <c r="B975" s="3" t="s">
        <v>22</v>
      </c>
      <c r="C975" s="3" t="n">
        <v>539</v>
      </c>
      <c r="D975" s="3" t="n">
        <v>72</v>
      </c>
      <c r="E975" s="3" t="n">
        <v>189</v>
      </c>
      <c r="F975" s="3" t="n">
        <v>1725</v>
      </c>
      <c r="G975" s="3" t="n">
        <v>13</v>
      </c>
      <c r="H975" s="3" t="n">
        <v>207826.8</v>
      </c>
      <c r="I975" s="3" t="n">
        <v>447</v>
      </c>
      <c r="J975" s="3" t="n">
        <v>84553</v>
      </c>
      <c r="K975" s="3" t="n">
        <v>13561</v>
      </c>
      <c r="L975" s="3" t="n">
        <v>265</v>
      </c>
      <c r="M975" s="4" t="n">
        <f aca="false">IFERROR(D975/C975,0)</f>
        <v>0.133580705009276</v>
      </c>
      <c r="N975" s="4" t="n">
        <f aca="false">IFERROR(E975/C975,0)</f>
        <v>0.350649350649351</v>
      </c>
      <c r="O975" s="5" t="n">
        <f aca="false">IFERROR(F975/MAX(C975-D975,1),0)</f>
        <v>3.69379014989293</v>
      </c>
      <c r="P975" s="5" t="n">
        <f aca="false">IFERROR(F975/C975,0)</f>
        <v>3.20037105751391</v>
      </c>
      <c r="Q975" s="5" t="n">
        <f aca="false">IFERROR(H975/C975,0)</f>
        <v>385.578478664193</v>
      </c>
      <c r="R975" s="4" t="n">
        <f aca="false">IFERROR(I975/F975,0)</f>
        <v>0.259130434782609</v>
      </c>
      <c r="S975" s="4" t="n">
        <f aca="false">IFERROR(K975/J975,0)</f>
        <v>0.160384610835807</v>
      </c>
      <c r="T975" s="6" t="s">
        <v>23</v>
      </c>
    </row>
    <row r="976" customFormat="false" ht="15" hidden="false" customHeight="false" outlineLevel="0" collapsed="false">
      <c r="A976" s="3" t="s">
        <v>1009</v>
      </c>
      <c r="B976" s="3" t="s">
        <v>29</v>
      </c>
      <c r="C976" s="3" t="n">
        <v>1299</v>
      </c>
      <c r="D976" s="3" t="n">
        <v>23</v>
      </c>
      <c r="E976" s="3" t="n">
        <v>425</v>
      </c>
      <c r="F976" s="3" t="n">
        <v>1564</v>
      </c>
      <c r="G976" s="3" t="n">
        <v>4</v>
      </c>
      <c r="H976" s="3" t="n">
        <v>492204.9</v>
      </c>
      <c r="I976" s="3" t="n">
        <v>307</v>
      </c>
      <c r="J976" s="3" t="n">
        <v>205057</v>
      </c>
      <c r="K976" s="3" t="n">
        <v>42682</v>
      </c>
      <c r="L976" s="3" t="n">
        <v>0</v>
      </c>
      <c r="M976" s="4" t="n">
        <f aca="false">IFERROR(D976/C976,0)</f>
        <v>0.0177059276366436</v>
      </c>
      <c r="N976" s="4" t="n">
        <f aca="false">IFERROR(E976/C976,0)</f>
        <v>0.327174749807544</v>
      </c>
      <c r="O976" s="5" t="n">
        <f aca="false">IFERROR(F976/MAX(C976-D976,1),0)</f>
        <v>1.22570532915361</v>
      </c>
      <c r="P976" s="5" t="n">
        <f aca="false">IFERROR(F976/C976,0)</f>
        <v>1.20400307929176</v>
      </c>
      <c r="Q976" s="5" t="n">
        <f aca="false">IFERROR(H976/C976,0)</f>
        <v>378.910623556582</v>
      </c>
      <c r="R976" s="4" t="n">
        <f aca="false">IFERROR(I976/F976,0)</f>
        <v>0.196291560102302</v>
      </c>
      <c r="S976" s="4" t="n">
        <f aca="false">IFERROR(K976/J976,0)</f>
        <v>0.208147003028426</v>
      </c>
      <c r="T976" s="6" t="s">
        <v>23</v>
      </c>
    </row>
    <row r="977" customFormat="false" ht="15" hidden="false" customHeight="false" outlineLevel="0" collapsed="false">
      <c r="A977" s="3" t="s">
        <v>1010</v>
      </c>
      <c r="B977" s="3" t="s">
        <v>26</v>
      </c>
      <c r="C977" s="3" t="n">
        <v>3287</v>
      </c>
      <c r="D977" s="3" t="n">
        <v>410</v>
      </c>
      <c r="E977" s="3" t="n">
        <v>1011</v>
      </c>
      <c r="F977" s="3" t="n">
        <v>10262</v>
      </c>
      <c r="G977" s="3" t="n">
        <v>13</v>
      </c>
      <c r="H977" s="3" t="n">
        <v>1876629.9</v>
      </c>
      <c r="I977" s="3" t="n">
        <v>1719</v>
      </c>
      <c r="J977" s="3" t="n">
        <v>341184</v>
      </c>
      <c r="K977" s="3" t="n">
        <v>61250</v>
      </c>
      <c r="L977" s="3" t="n">
        <v>1043</v>
      </c>
      <c r="M977" s="4" t="n">
        <f aca="false">IFERROR(D977/C977,0)</f>
        <v>0.124733799817463</v>
      </c>
      <c r="N977" s="4" t="n">
        <f aca="false">IFERROR(E977/C977,0)</f>
        <v>0.307575296623061</v>
      </c>
      <c r="O977" s="5" t="n">
        <f aca="false">IFERROR(F977/MAX(C977-D977,1),0)</f>
        <v>3.5669099756691</v>
      </c>
      <c r="P977" s="5" t="n">
        <f aca="false">IFERROR(F977/C977,0)</f>
        <v>3.12199574079708</v>
      </c>
      <c r="Q977" s="5" t="n">
        <f aca="false">IFERROR(H977/C977,0)</f>
        <v>570.924825068452</v>
      </c>
      <c r="R977" s="4" t="n">
        <f aca="false">IFERROR(I977/F977,0)</f>
        <v>0.167511206392516</v>
      </c>
      <c r="S977" s="4" t="n">
        <f aca="false">IFERROR(K977/J977,0)</f>
        <v>0.17952190020634</v>
      </c>
      <c r="T977" s="6" t="s">
        <v>23</v>
      </c>
    </row>
    <row r="978" customFormat="false" ht="15" hidden="false" customHeight="false" outlineLevel="0" collapsed="false">
      <c r="A978" s="9" t="s">
        <v>1011</v>
      </c>
      <c r="B978" s="9" t="s">
        <v>22</v>
      </c>
      <c r="C978" s="9" t="n">
        <v>3072</v>
      </c>
      <c r="D978" s="9" t="n">
        <v>478</v>
      </c>
      <c r="E978" s="9" t="n">
        <v>1010</v>
      </c>
      <c r="F978" s="9" t="n">
        <v>14078</v>
      </c>
      <c r="G978" s="9" t="n">
        <v>20</v>
      </c>
      <c r="H978" s="9" t="n">
        <v>2714880.3</v>
      </c>
      <c r="I978" s="9" t="n">
        <v>8506</v>
      </c>
      <c r="J978" s="9" t="n">
        <v>440366</v>
      </c>
      <c r="K978" s="9" t="n">
        <v>296101</v>
      </c>
      <c r="L978" s="9" t="n">
        <v>905</v>
      </c>
      <c r="M978" s="10" t="n">
        <f aca="false">IFERROR(D978/C978,0)</f>
        <v>0.155598958333333</v>
      </c>
      <c r="N978" s="10" t="n">
        <f aca="false">IFERROR(E978/C978,0)</f>
        <v>0.328776041666667</v>
      </c>
      <c r="O978" s="11" t="n">
        <f aca="false">IFERROR(F978/MAX(C978-D978,1),0)</f>
        <v>5.42713955281419</v>
      </c>
      <c r="P978" s="11" t="n">
        <f aca="false">IFERROR(F978/C978,0)</f>
        <v>4.58268229166667</v>
      </c>
      <c r="Q978" s="11" t="n">
        <f aca="false">IFERROR(H978/C978,0)</f>
        <v>883.75009765625</v>
      </c>
      <c r="R978" s="10" t="n">
        <f aca="false">IFERROR(I978/F978,0)</f>
        <v>0.604205142775963</v>
      </c>
      <c r="S978" s="10" t="n">
        <f aca="false">IFERROR(K978/J978,0)</f>
        <v>0.672397505711158</v>
      </c>
      <c r="T978" s="12" t="s">
        <v>30</v>
      </c>
    </row>
    <row r="979" customFormat="false" ht="15" hidden="false" customHeight="false" outlineLevel="0" collapsed="false">
      <c r="A979" s="3" t="s">
        <v>1012</v>
      </c>
      <c r="B979" s="3" t="s">
        <v>26</v>
      </c>
      <c r="C979" s="3" t="n">
        <v>513</v>
      </c>
      <c r="D979" s="3" t="n">
        <v>36</v>
      </c>
      <c r="E979" s="3" t="n">
        <v>118</v>
      </c>
      <c r="F979" s="3" t="n">
        <v>1112</v>
      </c>
      <c r="G979" s="3" t="n">
        <v>11</v>
      </c>
      <c r="H979" s="3" t="n">
        <v>181137.1</v>
      </c>
      <c r="I979" s="3" t="n">
        <v>160</v>
      </c>
      <c r="J979" s="3" t="n">
        <v>80104</v>
      </c>
      <c r="K979" s="3" t="n">
        <v>15012</v>
      </c>
      <c r="L979" s="3" t="n">
        <v>66</v>
      </c>
      <c r="M979" s="4" t="n">
        <f aca="false">IFERROR(D979/C979,0)</f>
        <v>0.0701754385964912</v>
      </c>
      <c r="N979" s="4" t="n">
        <f aca="false">IFERROR(E979/C979,0)</f>
        <v>0.230019493177388</v>
      </c>
      <c r="O979" s="5" t="n">
        <f aca="false">IFERROR(F979/MAX(C979-D979,1),0)</f>
        <v>2.33123689727463</v>
      </c>
      <c r="P979" s="5" t="n">
        <f aca="false">IFERROR(F979/C979,0)</f>
        <v>2.16764132553606</v>
      </c>
      <c r="Q979" s="5" t="n">
        <f aca="false">IFERROR(H979/C979,0)</f>
        <v>353.093762183236</v>
      </c>
      <c r="R979" s="4" t="n">
        <f aca="false">IFERROR(I979/F979,0)</f>
        <v>0.143884892086331</v>
      </c>
      <c r="S979" s="4" t="n">
        <f aca="false">IFERROR(K979/J979,0)</f>
        <v>0.187406371716768</v>
      </c>
      <c r="T979" s="6" t="s">
        <v>23</v>
      </c>
    </row>
    <row r="980" customFormat="false" ht="15" hidden="false" customHeight="false" outlineLevel="0" collapsed="false">
      <c r="A980" s="3" t="s">
        <v>1013</v>
      </c>
      <c r="B980" s="3" t="s">
        <v>22</v>
      </c>
      <c r="C980" s="3" t="n">
        <v>1200</v>
      </c>
      <c r="D980" s="3" t="n">
        <v>144</v>
      </c>
      <c r="E980" s="3" t="n">
        <v>329</v>
      </c>
      <c r="F980" s="3" t="n">
        <v>4306</v>
      </c>
      <c r="G980" s="3" t="n">
        <v>16</v>
      </c>
      <c r="H980" s="3" t="n">
        <v>585449.1</v>
      </c>
      <c r="I980" s="3" t="n">
        <v>1147</v>
      </c>
      <c r="J980" s="3" t="n">
        <v>121226</v>
      </c>
      <c r="K980" s="3" t="n">
        <v>19242</v>
      </c>
      <c r="L980" s="3" t="n">
        <v>530</v>
      </c>
      <c r="M980" s="4" t="n">
        <f aca="false">IFERROR(D980/C980,0)</f>
        <v>0.12</v>
      </c>
      <c r="N980" s="4" t="n">
        <f aca="false">IFERROR(E980/C980,0)</f>
        <v>0.274166666666667</v>
      </c>
      <c r="O980" s="5" t="n">
        <f aca="false">IFERROR(F980/MAX(C980-D980,1),0)</f>
        <v>4.07765151515152</v>
      </c>
      <c r="P980" s="5" t="n">
        <f aca="false">IFERROR(F980/C980,0)</f>
        <v>3.58833333333333</v>
      </c>
      <c r="Q980" s="5" t="n">
        <f aca="false">IFERROR(H980/C980,0)</f>
        <v>487.87425</v>
      </c>
      <c r="R980" s="4" t="n">
        <f aca="false">IFERROR(I980/F980,0)</f>
        <v>0.266372503483511</v>
      </c>
      <c r="S980" s="4" t="n">
        <f aca="false">IFERROR(K980/J980,0)</f>
        <v>0.158728325606718</v>
      </c>
      <c r="T980" s="6" t="s">
        <v>23</v>
      </c>
    </row>
    <row r="981" customFormat="false" ht="15" hidden="false" customHeight="false" outlineLevel="0" collapsed="false">
      <c r="A981" s="3" t="s">
        <v>1014</v>
      </c>
      <c r="B981" s="3" t="s">
        <v>26</v>
      </c>
      <c r="C981" s="3" t="n">
        <v>2201</v>
      </c>
      <c r="D981" s="3" t="n">
        <v>133</v>
      </c>
      <c r="E981" s="3" t="n">
        <v>838</v>
      </c>
      <c r="F981" s="3" t="n">
        <v>7280</v>
      </c>
      <c r="G981" s="3" t="n">
        <v>12</v>
      </c>
      <c r="H981" s="3" t="n">
        <v>1168589.4</v>
      </c>
      <c r="I981" s="3" t="n">
        <v>849</v>
      </c>
      <c r="J981" s="3" t="n">
        <v>248561</v>
      </c>
      <c r="K981" s="3" t="n">
        <v>31421</v>
      </c>
      <c r="L981" s="3" t="n">
        <v>381</v>
      </c>
      <c r="M981" s="4" t="n">
        <f aca="false">IFERROR(D981/C981,0)</f>
        <v>0.0604270786006361</v>
      </c>
      <c r="N981" s="4" t="n">
        <f aca="false">IFERROR(E981/C981,0)</f>
        <v>0.380736029077692</v>
      </c>
      <c r="O981" s="5" t="n">
        <f aca="false">IFERROR(F981/MAX(C981-D981,1),0)</f>
        <v>3.52030947775629</v>
      </c>
      <c r="P981" s="5" t="n">
        <f aca="false">IFERROR(F981/C981,0)</f>
        <v>3.30758746024534</v>
      </c>
      <c r="Q981" s="5" t="n">
        <f aca="false">IFERROR(H981/C981,0)</f>
        <v>530.935665606542</v>
      </c>
      <c r="R981" s="4" t="n">
        <f aca="false">IFERROR(I981/F981,0)</f>
        <v>0.116620879120879</v>
      </c>
      <c r="S981" s="4" t="n">
        <f aca="false">IFERROR(K981/J981,0)</f>
        <v>0.126411625315315</v>
      </c>
      <c r="T981" s="6" t="s">
        <v>23</v>
      </c>
    </row>
    <row r="982" customFormat="false" ht="15" hidden="false" customHeight="false" outlineLevel="0" collapsed="false">
      <c r="A982" s="3" t="s">
        <v>1015</v>
      </c>
      <c r="B982" s="3" t="s">
        <v>29</v>
      </c>
      <c r="C982" s="3" t="n">
        <v>768</v>
      </c>
      <c r="D982" s="3" t="n">
        <v>99</v>
      </c>
      <c r="E982" s="3" t="n">
        <v>325</v>
      </c>
      <c r="F982" s="3" t="n">
        <v>1406</v>
      </c>
      <c r="G982" s="3" t="n">
        <v>8</v>
      </c>
      <c r="H982" s="3" t="n">
        <v>435910.1</v>
      </c>
      <c r="I982" s="3" t="n">
        <v>252</v>
      </c>
      <c r="J982" s="3" t="n">
        <v>73966</v>
      </c>
      <c r="K982" s="3" t="n">
        <v>17924</v>
      </c>
      <c r="L982" s="3" t="n">
        <v>0</v>
      </c>
      <c r="M982" s="4" t="n">
        <f aca="false">IFERROR(D982/C982,0)</f>
        <v>0.12890625</v>
      </c>
      <c r="N982" s="4" t="n">
        <f aca="false">IFERROR(E982/C982,0)</f>
        <v>0.423177083333333</v>
      </c>
      <c r="O982" s="5" t="n">
        <f aca="false">IFERROR(F982/MAX(C982-D982,1),0)</f>
        <v>2.101644245142</v>
      </c>
      <c r="P982" s="5" t="n">
        <f aca="false">IFERROR(F982/C982,0)</f>
        <v>1.83072916666667</v>
      </c>
      <c r="Q982" s="5" t="n">
        <f aca="false">IFERROR(H982/C982,0)</f>
        <v>567.591276041667</v>
      </c>
      <c r="R982" s="4" t="n">
        <f aca="false">IFERROR(I982/F982,0)</f>
        <v>0.17923186344239</v>
      </c>
      <c r="S982" s="4" t="n">
        <f aca="false">IFERROR(K982/J982,0)</f>
        <v>0.242327555904064</v>
      </c>
      <c r="T982" s="6" t="s">
        <v>23</v>
      </c>
    </row>
    <row r="983" customFormat="false" ht="15" hidden="false" customHeight="false" outlineLevel="0" collapsed="false">
      <c r="A983" s="3" t="s">
        <v>1016</v>
      </c>
      <c r="B983" s="3" t="s">
        <v>29</v>
      </c>
      <c r="C983" s="3" t="n">
        <v>2506</v>
      </c>
      <c r="D983" s="3" t="n">
        <v>346</v>
      </c>
      <c r="E983" s="3" t="n">
        <v>810</v>
      </c>
      <c r="F983" s="3" t="n">
        <v>10552</v>
      </c>
      <c r="G983" s="3" t="n">
        <v>21</v>
      </c>
      <c r="H983" s="3" t="n">
        <v>1335743.6</v>
      </c>
      <c r="I983" s="3" t="n">
        <v>2050</v>
      </c>
      <c r="J983" s="3" t="n">
        <v>347967</v>
      </c>
      <c r="K983" s="3" t="n">
        <v>88164</v>
      </c>
      <c r="L983" s="3" t="n">
        <v>0</v>
      </c>
      <c r="M983" s="4" t="n">
        <f aca="false">IFERROR(D983/C983,0)</f>
        <v>0.138068635275339</v>
      </c>
      <c r="N983" s="4" t="n">
        <f aca="false">IFERROR(E983/C983,0)</f>
        <v>0.323224261771748</v>
      </c>
      <c r="O983" s="5" t="n">
        <f aca="false">IFERROR(F983/MAX(C983-D983,1),0)</f>
        <v>4.88518518518519</v>
      </c>
      <c r="P983" s="5" t="n">
        <f aca="false">IFERROR(F983/C983,0)</f>
        <v>4.21069433359936</v>
      </c>
      <c r="Q983" s="5" t="n">
        <f aca="false">IFERROR(H983/C983,0)</f>
        <v>533.018196328811</v>
      </c>
      <c r="R983" s="4" t="n">
        <f aca="false">IFERROR(I983/F983,0)</f>
        <v>0.194275966641395</v>
      </c>
      <c r="S983" s="4" t="n">
        <f aca="false">IFERROR(K983/J983,0)</f>
        <v>0.253368853943046</v>
      </c>
      <c r="T983" s="6" t="s">
        <v>23</v>
      </c>
    </row>
    <row r="984" customFormat="false" ht="15" hidden="false" customHeight="false" outlineLevel="0" collapsed="false">
      <c r="A984" s="3" t="s">
        <v>1017</v>
      </c>
      <c r="B984" s="3" t="s">
        <v>22</v>
      </c>
      <c r="C984" s="3" t="n">
        <v>842</v>
      </c>
      <c r="D984" s="3" t="n">
        <v>54</v>
      </c>
      <c r="E984" s="3" t="n">
        <v>196</v>
      </c>
      <c r="F984" s="3" t="n">
        <v>1258</v>
      </c>
      <c r="G984" s="3" t="n">
        <v>8</v>
      </c>
      <c r="H984" s="3" t="n">
        <v>322826</v>
      </c>
      <c r="I984" s="3" t="n">
        <v>180</v>
      </c>
      <c r="J984" s="3" t="n">
        <v>138692</v>
      </c>
      <c r="K984" s="3" t="n">
        <v>20702</v>
      </c>
      <c r="L984" s="3" t="n">
        <v>237</v>
      </c>
      <c r="M984" s="4" t="n">
        <f aca="false">IFERROR(D984/C984,0)</f>
        <v>0.0641330166270784</v>
      </c>
      <c r="N984" s="4" t="n">
        <f aca="false">IFERROR(E984/C984,0)</f>
        <v>0.232779097387173</v>
      </c>
      <c r="O984" s="5" t="n">
        <f aca="false">IFERROR(F984/MAX(C984-D984,1),0)</f>
        <v>1.59644670050761</v>
      </c>
      <c r="P984" s="5" t="n">
        <f aca="false">IFERROR(F984/C984,0)</f>
        <v>1.49406175771972</v>
      </c>
      <c r="Q984" s="5" t="n">
        <f aca="false">IFERROR(H984/C984,0)</f>
        <v>383.403800475059</v>
      </c>
      <c r="R984" s="4" t="n">
        <f aca="false">IFERROR(I984/F984,0)</f>
        <v>0.14308426073132</v>
      </c>
      <c r="S984" s="4" t="n">
        <f aca="false">IFERROR(K984/J984,0)</f>
        <v>0.149265999480864</v>
      </c>
      <c r="T984" s="6" t="s">
        <v>23</v>
      </c>
    </row>
    <row r="985" customFormat="false" ht="15" hidden="false" customHeight="false" outlineLevel="0" collapsed="false">
      <c r="A985" s="3" t="s">
        <v>1018</v>
      </c>
      <c r="B985" s="3" t="s">
        <v>22</v>
      </c>
      <c r="C985" s="3" t="n">
        <v>2438</v>
      </c>
      <c r="D985" s="3" t="n">
        <v>297</v>
      </c>
      <c r="E985" s="3" t="n">
        <v>1081</v>
      </c>
      <c r="F985" s="3" t="n">
        <v>8868</v>
      </c>
      <c r="G985" s="3" t="n">
        <v>17</v>
      </c>
      <c r="H985" s="3" t="n">
        <v>854319.6</v>
      </c>
      <c r="I985" s="3" t="n">
        <v>1693</v>
      </c>
      <c r="J985" s="3" t="n">
        <v>217586</v>
      </c>
      <c r="K985" s="3" t="n">
        <v>37385</v>
      </c>
      <c r="L985" s="3" t="n">
        <v>357</v>
      </c>
      <c r="M985" s="4" t="n">
        <f aca="false">IFERROR(D985/C985,0)</f>
        <v>0.121821164889253</v>
      </c>
      <c r="N985" s="4" t="n">
        <f aca="false">IFERROR(E985/C985,0)</f>
        <v>0.443396226415094</v>
      </c>
      <c r="O985" s="5" t="n">
        <f aca="false">IFERROR(F985/MAX(C985-D985,1),0)</f>
        <v>4.14198972442784</v>
      </c>
      <c r="P985" s="5" t="n">
        <f aca="false">IFERROR(F985/C985,0)</f>
        <v>3.63740771123872</v>
      </c>
      <c r="Q985" s="5" t="n">
        <f aca="false">IFERROR(H985/C985,0)</f>
        <v>350.418211648893</v>
      </c>
      <c r="R985" s="4" t="n">
        <f aca="false">IFERROR(I985/F985,0)</f>
        <v>0.190911141181777</v>
      </c>
      <c r="S985" s="4" t="n">
        <f aca="false">IFERROR(K985/J985,0)</f>
        <v>0.171817120586802</v>
      </c>
      <c r="T985" s="6" t="s">
        <v>23</v>
      </c>
    </row>
    <row r="986" customFormat="false" ht="15" hidden="false" customHeight="false" outlineLevel="0" collapsed="false">
      <c r="A986" s="3" t="s">
        <v>1019</v>
      </c>
      <c r="B986" s="3" t="s">
        <v>26</v>
      </c>
      <c r="C986" s="3" t="n">
        <v>3832</v>
      </c>
      <c r="D986" s="3" t="n">
        <v>553</v>
      </c>
      <c r="E986" s="3" t="n">
        <v>1823</v>
      </c>
      <c r="F986" s="3" t="n">
        <v>17637</v>
      </c>
      <c r="G986" s="3" t="n">
        <v>21</v>
      </c>
      <c r="H986" s="3" t="n">
        <v>2260430.5</v>
      </c>
      <c r="I986" s="3" t="n">
        <v>3020</v>
      </c>
      <c r="J986" s="3" t="n">
        <v>585581</v>
      </c>
      <c r="K986" s="3" t="n">
        <v>103001</v>
      </c>
      <c r="L986" s="3" t="n">
        <v>961</v>
      </c>
      <c r="M986" s="4" t="n">
        <f aca="false">IFERROR(D986/C986,0)</f>
        <v>0.144311064718163</v>
      </c>
      <c r="N986" s="4" t="n">
        <f aca="false">IFERROR(E986/C986,0)</f>
        <v>0.475730688935282</v>
      </c>
      <c r="O986" s="5" t="n">
        <f aca="false">IFERROR(F986/MAX(C986-D986,1),0)</f>
        <v>5.37877401646844</v>
      </c>
      <c r="P986" s="5" t="n">
        <f aca="false">IFERROR(F986/C986,0)</f>
        <v>4.60255741127349</v>
      </c>
      <c r="Q986" s="5" t="n">
        <f aca="false">IFERROR(H986/C986,0)</f>
        <v>589.882698329854</v>
      </c>
      <c r="R986" s="4" t="n">
        <f aca="false">IFERROR(I986/F986,0)</f>
        <v>0.171230934966264</v>
      </c>
      <c r="S986" s="4" t="n">
        <f aca="false">IFERROR(K986/J986,0)</f>
        <v>0.175895392780845</v>
      </c>
      <c r="T986" s="6" t="s">
        <v>23</v>
      </c>
    </row>
    <row r="987" customFormat="false" ht="15" hidden="false" customHeight="false" outlineLevel="0" collapsed="false">
      <c r="A987" s="3" t="s">
        <v>1020</v>
      </c>
      <c r="B987" s="3" t="s">
        <v>26</v>
      </c>
      <c r="C987" s="3" t="n">
        <v>3669</v>
      </c>
      <c r="D987" s="3" t="n">
        <v>343</v>
      </c>
      <c r="E987" s="3" t="n">
        <v>1486</v>
      </c>
      <c r="F987" s="3" t="n">
        <v>10025</v>
      </c>
      <c r="G987" s="3" t="n">
        <v>13</v>
      </c>
      <c r="H987" s="3" t="n">
        <v>1416485.2</v>
      </c>
      <c r="I987" s="3" t="n">
        <v>1781</v>
      </c>
      <c r="J987" s="3" t="n">
        <v>284318</v>
      </c>
      <c r="K987" s="3" t="n">
        <v>45937</v>
      </c>
      <c r="L987" s="3" t="n">
        <v>912</v>
      </c>
      <c r="M987" s="4" t="n">
        <f aca="false">IFERROR(D987/C987,0)</f>
        <v>0.0934859634777869</v>
      </c>
      <c r="N987" s="4" t="n">
        <f aca="false">IFERROR(E987/C987,0)</f>
        <v>0.405014990460616</v>
      </c>
      <c r="O987" s="5" t="n">
        <f aca="false">IFERROR(F987/MAX(C987-D987,1),0)</f>
        <v>3.01413108839447</v>
      </c>
      <c r="P987" s="5" t="n">
        <f aca="false">IFERROR(F987/C987,0)</f>
        <v>2.73235213954756</v>
      </c>
      <c r="Q987" s="5" t="n">
        <f aca="false">IFERROR(H987/C987,0)</f>
        <v>386.068465521941</v>
      </c>
      <c r="R987" s="4" t="n">
        <f aca="false">IFERROR(I987/F987,0)</f>
        <v>0.177655860349127</v>
      </c>
      <c r="S987" s="4" t="n">
        <f aca="false">IFERROR(K987/J987,0)</f>
        <v>0.161569088133709</v>
      </c>
      <c r="T987" s="6" t="s">
        <v>23</v>
      </c>
    </row>
    <row r="988" customFormat="false" ht="15" hidden="false" customHeight="false" outlineLevel="0" collapsed="false">
      <c r="A988" s="3" t="s">
        <v>1021</v>
      </c>
      <c r="B988" s="3" t="s">
        <v>26</v>
      </c>
      <c r="C988" s="3" t="n">
        <v>268</v>
      </c>
      <c r="D988" s="3" t="n">
        <v>37</v>
      </c>
      <c r="E988" s="3" t="n">
        <v>127</v>
      </c>
      <c r="F988" s="3" t="n">
        <v>722</v>
      </c>
      <c r="G988" s="3" t="n">
        <v>13</v>
      </c>
      <c r="H988" s="3" t="n">
        <v>152655.4</v>
      </c>
      <c r="I988" s="3" t="n">
        <v>110</v>
      </c>
      <c r="J988" s="3" t="n">
        <v>42604</v>
      </c>
      <c r="K988" s="3" t="n">
        <v>7314</v>
      </c>
      <c r="L988" s="3" t="n">
        <v>71</v>
      </c>
      <c r="M988" s="4" t="n">
        <f aca="false">IFERROR(D988/C988,0)</f>
        <v>0.138059701492537</v>
      </c>
      <c r="N988" s="4" t="n">
        <f aca="false">IFERROR(E988/C988,0)</f>
        <v>0.473880597014925</v>
      </c>
      <c r="O988" s="5" t="n">
        <f aca="false">IFERROR(F988/MAX(C988-D988,1),0)</f>
        <v>3.12554112554113</v>
      </c>
      <c r="P988" s="5" t="n">
        <f aca="false">IFERROR(F988/C988,0)</f>
        <v>2.69402985074627</v>
      </c>
      <c r="Q988" s="5" t="n">
        <f aca="false">IFERROR(H988/C988,0)</f>
        <v>569.609701492537</v>
      </c>
      <c r="R988" s="4" t="n">
        <f aca="false">IFERROR(I988/F988,0)</f>
        <v>0.152354570637119</v>
      </c>
      <c r="S988" s="4" t="n">
        <f aca="false">IFERROR(K988/J988,0)</f>
        <v>0.171674021218665</v>
      </c>
      <c r="T988" s="6" t="s">
        <v>23</v>
      </c>
    </row>
    <row r="989" customFormat="false" ht="15" hidden="false" customHeight="false" outlineLevel="0" collapsed="false">
      <c r="A989" s="9" t="s">
        <v>1022</v>
      </c>
      <c r="B989" s="9" t="s">
        <v>26</v>
      </c>
      <c r="C989" s="9" t="n">
        <v>3757</v>
      </c>
      <c r="D989" s="9" t="n">
        <v>1466</v>
      </c>
      <c r="E989" s="9" t="n">
        <v>2776</v>
      </c>
      <c r="F989" s="9" t="n">
        <v>40535</v>
      </c>
      <c r="G989" s="9" t="n">
        <v>25</v>
      </c>
      <c r="H989" s="9" t="n">
        <v>2645663.7</v>
      </c>
      <c r="I989" s="9" t="n">
        <v>28804</v>
      </c>
      <c r="J989" s="9" t="n">
        <v>338186</v>
      </c>
      <c r="K989" s="9" t="n">
        <v>281948</v>
      </c>
      <c r="L989" s="9" t="n">
        <v>1366</v>
      </c>
      <c r="M989" s="10" t="n">
        <f aca="false">IFERROR(D989/C989,0)</f>
        <v>0.390204950758584</v>
      </c>
      <c r="N989" s="10" t="n">
        <f aca="false">IFERROR(E989/C989,0)</f>
        <v>0.738887410167687</v>
      </c>
      <c r="O989" s="11" t="n">
        <f aca="false">IFERROR(F989/MAX(C989-D989,1),0)</f>
        <v>17.6931470973374</v>
      </c>
      <c r="P989" s="11" t="n">
        <f aca="false">IFERROR(F989/C989,0)</f>
        <v>10.7891935054565</v>
      </c>
      <c r="Q989" s="11" t="n">
        <f aca="false">IFERROR(H989/C989,0)</f>
        <v>704.195821133883</v>
      </c>
      <c r="R989" s="10" t="n">
        <f aca="false">IFERROR(I989/F989,0)</f>
        <v>0.710595781423461</v>
      </c>
      <c r="S989" s="10" t="n">
        <f aca="false">IFERROR(K989/J989,0)</f>
        <v>0.833706895022266</v>
      </c>
      <c r="T989" s="12" t="s">
        <v>30</v>
      </c>
    </row>
    <row r="990" customFormat="false" ht="15" hidden="false" customHeight="false" outlineLevel="0" collapsed="false">
      <c r="A990" s="3" t="s">
        <v>1023</v>
      </c>
      <c r="B990" s="3" t="s">
        <v>26</v>
      </c>
      <c r="C990" s="3" t="n">
        <v>963</v>
      </c>
      <c r="D990" s="3" t="n">
        <v>59</v>
      </c>
      <c r="E990" s="3" t="n">
        <v>337</v>
      </c>
      <c r="F990" s="3" t="n">
        <v>1396</v>
      </c>
      <c r="G990" s="3" t="n">
        <v>6</v>
      </c>
      <c r="H990" s="3" t="n">
        <v>307218.6</v>
      </c>
      <c r="I990" s="3" t="n">
        <v>235</v>
      </c>
      <c r="J990" s="3" t="n">
        <v>86303</v>
      </c>
      <c r="K990" s="3" t="n">
        <v>14600</v>
      </c>
      <c r="L990" s="3" t="n">
        <v>215</v>
      </c>
      <c r="M990" s="4" t="n">
        <f aca="false">IFERROR(D990/C990,0)</f>
        <v>0.0612668743509865</v>
      </c>
      <c r="N990" s="4" t="n">
        <f aca="false">IFERROR(E990/C990,0)</f>
        <v>0.349948078920042</v>
      </c>
      <c r="O990" s="5" t="n">
        <f aca="false">IFERROR(F990/MAX(C990-D990,1),0)</f>
        <v>1.54424778761062</v>
      </c>
      <c r="P990" s="5" t="n">
        <f aca="false">IFERROR(F990/C990,0)</f>
        <v>1.44963655244029</v>
      </c>
      <c r="Q990" s="5" t="n">
        <f aca="false">IFERROR(H990/C990,0)</f>
        <v>319.022429906542</v>
      </c>
      <c r="R990" s="4" t="n">
        <f aca="false">IFERROR(I990/F990,0)</f>
        <v>0.168338108882522</v>
      </c>
      <c r="S990" s="4" t="n">
        <f aca="false">IFERROR(K990/J990,0)</f>
        <v>0.16917140771468</v>
      </c>
      <c r="T990" s="6" t="s">
        <v>23</v>
      </c>
    </row>
    <row r="991" customFormat="false" ht="15" hidden="false" customHeight="false" outlineLevel="0" collapsed="false">
      <c r="A991" s="3" t="s">
        <v>1024</v>
      </c>
      <c r="B991" s="3" t="s">
        <v>26</v>
      </c>
      <c r="C991" s="3" t="n">
        <v>3672</v>
      </c>
      <c r="D991" s="3" t="n">
        <v>178</v>
      </c>
      <c r="E991" s="3" t="n">
        <v>1335</v>
      </c>
      <c r="F991" s="3" t="n">
        <v>9643</v>
      </c>
      <c r="G991" s="3" t="n">
        <v>11</v>
      </c>
      <c r="H991" s="3" t="n">
        <v>1952330.1</v>
      </c>
      <c r="I991" s="3" t="n">
        <v>2326</v>
      </c>
      <c r="J991" s="3" t="n">
        <v>532409</v>
      </c>
      <c r="K991" s="3" t="n">
        <v>84415</v>
      </c>
      <c r="L991" s="3" t="n">
        <v>1369</v>
      </c>
      <c r="M991" s="4" t="n">
        <f aca="false">IFERROR(D991/C991,0)</f>
        <v>0.0484749455337691</v>
      </c>
      <c r="N991" s="4" t="n">
        <f aca="false">IFERROR(E991/C991,0)</f>
        <v>0.363562091503268</v>
      </c>
      <c r="O991" s="5" t="n">
        <f aca="false">IFERROR(F991/MAX(C991-D991,1),0)</f>
        <v>2.759874069834</v>
      </c>
      <c r="P991" s="5" t="n">
        <f aca="false">IFERROR(F991/C991,0)</f>
        <v>2.62608932461874</v>
      </c>
      <c r="Q991" s="5" t="n">
        <f aca="false">IFERROR(H991/C991,0)</f>
        <v>531.680310457516</v>
      </c>
      <c r="R991" s="4" t="n">
        <f aca="false">IFERROR(I991/F991,0)</f>
        <v>0.241211241314943</v>
      </c>
      <c r="S991" s="4" t="n">
        <f aca="false">IFERROR(K991/J991,0)</f>
        <v>0.158552917024318</v>
      </c>
      <c r="T991" s="6" t="s">
        <v>23</v>
      </c>
    </row>
    <row r="992" customFormat="false" ht="15" hidden="false" customHeight="false" outlineLevel="0" collapsed="false">
      <c r="A992" s="3" t="s">
        <v>1025</v>
      </c>
      <c r="B992" s="3" t="s">
        <v>29</v>
      </c>
      <c r="C992" s="3" t="n">
        <v>1883</v>
      </c>
      <c r="D992" s="3" t="n">
        <v>172</v>
      </c>
      <c r="E992" s="3" t="n">
        <v>638</v>
      </c>
      <c r="F992" s="3" t="n">
        <v>4036</v>
      </c>
      <c r="G992" s="3" t="n">
        <v>5</v>
      </c>
      <c r="H992" s="3" t="n">
        <v>459137.8</v>
      </c>
      <c r="I992" s="3" t="n">
        <v>828</v>
      </c>
      <c r="J992" s="3" t="n">
        <v>173572</v>
      </c>
      <c r="K992" s="3" t="n">
        <v>23493</v>
      </c>
      <c r="L992" s="3" t="n">
        <v>0</v>
      </c>
      <c r="M992" s="4" t="n">
        <f aca="false">IFERROR(D992/C992,0)</f>
        <v>0.0913436006372809</v>
      </c>
      <c r="N992" s="4" t="n">
        <f aca="false">IFERROR(E992/C992,0)</f>
        <v>0.338821030270844</v>
      </c>
      <c r="O992" s="5" t="n">
        <f aca="false">IFERROR(F992/MAX(C992-D992,1),0)</f>
        <v>2.35885447106955</v>
      </c>
      <c r="P992" s="5" t="n">
        <f aca="false">IFERROR(F992/C992,0)</f>
        <v>2.14338821030271</v>
      </c>
      <c r="Q992" s="5" t="n">
        <f aca="false">IFERROR(H992/C992,0)</f>
        <v>243.833138608603</v>
      </c>
      <c r="R992" s="4" t="n">
        <f aca="false">IFERROR(I992/F992,0)</f>
        <v>0.205153617443013</v>
      </c>
      <c r="S992" s="4" t="n">
        <f aca="false">IFERROR(K992/J992,0)</f>
        <v>0.135350171686678</v>
      </c>
      <c r="T992" s="6" t="s">
        <v>23</v>
      </c>
    </row>
    <row r="993" customFormat="false" ht="15" hidden="false" customHeight="false" outlineLevel="0" collapsed="false">
      <c r="A993" s="3" t="s">
        <v>1026</v>
      </c>
      <c r="B993" s="3" t="s">
        <v>26</v>
      </c>
      <c r="C993" s="3" t="n">
        <v>2302</v>
      </c>
      <c r="D993" s="3" t="n">
        <v>377</v>
      </c>
      <c r="E993" s="3" t="n">
        <v>732</v>
      </c>
      <c r="F993" s="3" t="n">
        <v>8256</v>
      </c>
      <c r="G993" s="3" t="n">
        <v>15</v>
      </c>
      <c r="H993" s="3" t="n">
        <v>1314180.3</v>
      </c>
      <c r="I993" s="3" t="n">
        <v>1609</v>
      </c>
      <c r="J993" s="3" t="n">
        <v>283995</v>
      </c>
      <c r="K993" s="3" t="n">
        <v>57039</v>
      </c>
      <c r="L993" s="3" t="n">
        <v>1240</v>
      </c>
      <c r="M993" s="4" t="n">
        <f aca="false">IFERROR(D993/C993,0)</f>
        <v>0.163770634231103</v>
      </c>
      <c r="N993" s="4" t="n">
        <f aca="false">IFERROR(E993/C993,0)</f>
        <v>0.317984361424848</v>
      </c>
      <c r="O993" s="5" t="n">
        <f aca="false">IFERROR(F993/MAX(C993-D993,1),0)</f>
        <v>4.28883116883117</v>
      </c>
      <c r="P993" s="5" t="n">
        <f aca="false">IFERROR(F993/C993,0)</f>
        <v>3.58644656820156</v>
      </c>
      <c r="Q993" s="5" t="n">
        <f aca="false">IFERROR(H993/C993,0)</f>
        <v>570.886316246742</v>
      </c>
      <c r="R993" s="4" t="n">
        <f aca="false">IFERROR(I993/F993,0)</f>
        <v>0.194888565891473</v>
      </c>
      <c r="S993" s="4" t="n">
        <f aca="false">IFERROR(K993/J993,0)</f>
        <v>0.200845085300798</v>
      </c>
      <c r="T993" s="6" t="s">
        <v>23</v>
      </c>
    </row>
    <row r="994" customFormat="false" ht="15" hidden="false" customHeight="false" outlineLevel="0" collapsed="false">
      <c r="A994" s="9" t="s">
        <v>1027</v>
      </c>
      <c r="B994" s="9" t="s">
        <v>26</v>
      </c>
      <c r="C994" s="9" t="n">
        <v>1911</v>
      </c>
      <c r="D994" s="9" t="n">
        <v>444</v>
      </c>
      <c r="E994" s="9" t="n">
        <v>1006</v>
      </c>
      <c r="F994" s="9" t="n">
        <v>21618</v>
      </c>
      <c r="G994" s="9" t="n">
        <v>35</v>
      </c>
      <c r="H994" s="9" t="n">
        <v>1934524.9</v>
      </c>
      <c r="I994" s="9" t="n">
        <v>12519</v>
      </c>
      <c r="J994" s="9" t="n">
        <v>255820</v>
      </c>
      <c r="K994" s="9" t="n">
        <v>184586</v>
      </c>
      <c r="L994" s="9" t="n">
        <v>487</v>
      </c>
      <c r="M994" s="10" t="n">
        <f aca="false">IFERROR(D994/C994,0)</f>
        <v>0.232339089481947</v>
      </c>
      <c r="N994" s="10" t="n">
        <f aca="false">IFERROR(E994/C994,0)</f>
        <v>0.526425954997384</v>
      </c>
      <c r="O994" s="11" t="n">
        <f aca="false">IFERROR(F994/MAX(C994-D994,1),0)</f>
        <v>14.7361963190184</v>
      </c>
      <c r="P994" s="11" t="n">
        <f aca="false">IFERROR(F994/C994,0)</f>
        <v>11.3124018838305</v>
      </c>
      <c r="Q994" s="11" t="n">
        <f aca="false">IFERROR(H994/C994,0)</f>
        <v>1012.31025641026</v>
      </c>
      <c r="R994" s="10" t="n">
        <f aca="false">IFERROR(I994/F994,0)</f>
        <v>0.57910074937552</v>
      </c>
      <c r="S994" s="10" t="n">
        <f aca="false">IFERROR(K994/J994,0)</f>
        <v>0.721546399812368</v>
      </c>
      <c r="T994" s="12" t="s">
        <v>30</v>
      </c>
    </row>
    <row r="995" customFormat="false" ht="15" hidden="false" customHeight="false" outlineLevel="0" collapsed="false">
      <c r="A995" s="9" t="s">
        <v>1028</v>
      </c>
      <c r="B995" s="9" t="s">
        <v>22</v>
      </c>
      <c r="C995" s="9" t="n">
        <v>3054</v>
      </c>
      <c r="D995" s="9" t="n">
        <v>997</v>
      </c>
      <c r="E995" s="9" t="n">
        <v>1577</v>
      </c>
      <c r="F995" s="9" t="n">
        <v>28297</v>
      </c>
      <c r="G995" s="9" t="n">
        <v>26</v>
      </c>
      <c r="H995" s="9" t="n">
        <v>2994867.6</v>
      </c>
      <c r="I995" s="9" t="n">
        <v>20528</v>
      </c>
      <c r="J995" s="9" t="n">
        <v>413738</v>
      </c>
      <c r="K995" s="9" t="n">
        <v>212028</v>
      </c>
      <c r="L995" s="9" t="n">
        <v>824</v>
      </c>
      <c r="M995" s="10" t="n">
        <f aca="false">IFERROR(D995/C995,0)</f>
        <v>0.326457105435494</v>
      </c>
      <c r="N995" s="10" t="n">
        <f aca="false">IFERROR(E995/C995,0)</f>
        <v>0.516371971185331</v>
      </c>
      <c r="O995" s="11" t="n">
        <f aca="false">IFERROR(F995/MAX(C995-D995,1),0)</f>
        <v>13.756441419543</v>
      </c>
      <c r="P995" s="11" t="n">
        <f aca="false">IFERROR(F995/C995,0)</f>
        <v>9.26555337262606</v>
      </c>
      <c r="Q995" s="11" t="n">
        <f aca="false">IFERROR(H995/C995,0)</f>
        <v>980.637721021611</v>
      </c>
      <c r="R995" s="10" t="n">
        <f aca="false">IFERROR(I995/F995,0)</f>
        <v>0.725447927342121</v>
      </c>
      <c r="S995" s="10" t="n">
        <f aca="false">IFERROR(K995/J995,0)</f>
        <v>0.512469243820969</v>
      </c>
      <c r="T995" s="12" t="s">
        <v>30</v>
      </c>
    </row>
    <row r="996" customFormat="false" ht="15" hidden="false" customHeight="false" outlineLevel="0" collapsed="false">
      <c r="A996" s="3" t="s">
        <v>1029</v>
      </c>
      <c r="B996" s="3" t="s">
        <v>29</v>
      </c>
      <c r="C996" s="3" t="n">
        <v>3169</v>
      </c>
      <c r="D996" s="3" t="n">
        <v>212</v>
      </c>
      <c r="E996" s="3" t="n">
        <v>1257</v>
      </c>
      <c r="F996" s="3" t="n">
        <v>6656</v>
      </c>
      <c r="G996" s="3" t="n">
        <v>7</v>
      </c>
      <c r="H996" s="3" t="n">
        <v>1338200.3</v>
      </c>
      <c r="I996" s="3" t="n">
        <v>1557</v>
      </c>
      <c r="J996" s="3" t="n">
        <v>289074</v>
      </c>
      <c r="K996" s="3" t="n">
        <v>48200</v>
      </c>
      <c r="L996" s="3" t="n">
        <v>0</v>
      </c>
      <c r="M996" s="4" t="n">
        <f aca="false">IFERROR(D996/C996,0)</f>
        <v>0.066898075102556</v>
      </c>
      <c r="N996" s="4" t="n">
        <f aca="false">IFERROR(E996/C996,0)</f>
        <v>0.396655096244872</v>
      </c>
      <c r="O996" s="5" t="n">
        <f aca="false">IFERROR(F996/MAX(C996-D996,1),0)</f>
        <v>2.25092999661819</v>
      </c>
      <c r="P996" s="5" t="n">
        <f aca="false">IFERROR(F996/C996,0)</f>
        <v>2.10034711265383</v>
      </c>
      <c r="Q996" s="5" t="n">
        <f aca="false">IFERROR(H996/C996,0)</f>
        <v>422.278415904071</v>
      </c>
      <c r="R996" s="4" t="n">
        <f aca="false">IFERROR(I996/F996,0)</f>
        <v>0.233924278846154</v>
      </c>
      <c r="S996" s="4" t="n">
        <f aca="false">IFERROR(K996/J996,0)</f>
        <v>0.166739312425192</v>
      </c>
      <c r="T996" s="6" t="s">
        <v>23</v>
      </c>
    </row>
    <row r="997" customFormat="false" ht="15" hidden="false" customHeight="false" outlineLevel="0" collapsed="false">
      <c r="A997" s="3" t="s">
        <v>1030</v>
      </c>
      <c r="B997" s="3" t="s">
        <v>26</v>
      </c>
      <c r="C997" s="3" t="n">
        <v>828</v>
      </c>
      <c r="D997" s="3" t="n">
        <v>100</v>
      </c>
      <c r="E997" s="3" t="n">
        <v>347</v>
      </c>
      <c r="F997" s="3" t="n">
        <v>3180</v>
      </c>
      <c r="G997" s="3" t="n">
        <v>14</v>
      </c>
      <c r="H997" s="3" t="n">
        <v>488696.1</v>
      </c>
      <c r="I997" s="3" t="n">
        <v>695</v>
      </c>
      <c r="J997" s="3" t="n">
        <v>145049</v>
      </c>
      <c r="K997" s="3" t="n">
        <v>26468</v>
      </c>
      <c r="L997" s="3" t="n">
        <v>152</v>
      </c>
      <c r="M997" s="4" t="n">
        <f aca="false">IFERROR(D997/C997,0)</f>
        <v>0.120772946859903</v>
      </c>
      <c r="N997" s="4" t="n">
        <f aca="false">IFERROR(E997/C997,0)</f>
        <v>0.419082125603865</v>
      </c>
      <c r="O997" s="5" t="n">
        <f aca="false">IFERROR(F997/MAX(C997-D997,1),0)</f>
        <v>4.36813186813187</v>
      </c>
      <c r="P997" s="5" t="n">
        <f aca="false">IFERROR(F997/C997,0)</f>
        <v>3.84057971014493</v>
      </c>
      <c r="Q997" s="5" t="n">
        <f aca="false">IFERROR(H997/C997,0)</f>
        <v>590.21268115942</v>
      </c>
      <c r="R997" s="4" t="n">
        <f aca="false">IFERROR(I997/F997,0)</f>
        <v>0.218553459119497</v>
      </c>
      <c r="S997" s="4" t="n">
        <f aca="false">IFERROR(K997/J997,0)</f>
        <v>0.182476266640928</v>
      </c>
      <c r="T997" s="6" t="s">
        <v>23</v>
      </c>
    </row>
    <row r="998" customFormat="false" ht="15" hidden="false" customHeight="false" outlineLevel="0" collapsed="false">
      <c r="A998" s="3" t="s">
        <v>1031</v>
      </c>
      <c r="B998" s="3" t="s">
        <v>26</v>
      </c>
      <c r="C998" s="3" t="n">
        <v>823</v>
      </c>
      <c r="D998" s="3" t="n">
        <v>120</v>
      </c>
      <c r="E998" s="3" t="n">
        <v>269</v>
      </c>
      <c r="F998" s="3" t="n">
        <v>3260</v>
      </c>
      <c r="G998" s="3" t="n">
        <v>19</v>
      </c>
      <c r="H998" s="3" t="n">
        <v>337995.3</v>
      </c>
      <c r="I998" s="3" t="n">
        <v>573</v>
      </c>
      <c r="J998" s="3" t="n">
        <v>66153</v>
      </c>
      <c r="K998" s="3" t="n">
        <v>16810</v>
      </c>
      <c r="L998" s="3" t="n">
        <v>385</v>
      </c>
      <c r="M998" s="4" t="n">
        <f aca="false">IFERROR(D998/C998,0)</f>
        <v>0.145808019441069</v>
      </c>
      <c r="N998" s="4" t="n">
        <f aca="false">IFERROR(E998/C998,0)</f>
        <v>0.32685297691373</v>
      </c>
      <c r="O998" s="5" t="n">
        <f aca="false">IFERROR(F998/MAX(C998-D998,1),0)</f>
        <v>4.63726884779516</v>
      </c>
      <c r="P998" s="5" t="n">
        <f aca="false">IFERROR(F998/C998,0)</f>
        <v>3.96111786148238</v>
      </c>
      <c r="Q998" s="5" t="n">
        <f aca="false">IFERROR(H998/C998,0)</f>
        <v>410.68687727825</v>
      </c>
      <c r="R998" s="4" t="n">
        <f aca="false">IFERROR(I998/F998,0)</f>
        <v>0.175766871165644</v>
      </c>
      <c r="S998" s="4" t="n">
        <f aca="false">IFERROR(K998/J998,0)</f>
        <v>0.254107901380134</v>
      </c>
      <c r="T998" s="6" t="s">
        <v>23</v>
      </c>
    </row>
    <row r="999" customFormat="false" ht="15" hidden="false" customHeight="false" outlineLevel="0" collapsed="false">
      <c r="A999" s="3" t="s">
        <v>1032</v>
      </c>
      <c r="B999" s="3" t="s">
        <v>26</v>
      </c>
      <c r="C999" s="3" t="n">
        <v>2771</v>
      </c>
      <c r="D999" s="3" t="n">
        <v>452</v>
      </c>
      <c r="E999" s="3" t="n">
        <v>1104</v>
      </c>
      <c r="F999" s="3" t="n">
        <v>6884</v>
      </c>
      <c r="G999" s="3" t="n">
        <v>10</v>
      </c>
      <c r="H999" s="3" t="n">
        <v>999669.7</v>
      </c>
      <c r="I999" s="3" t="n">
        <v>1491</v>
      </c>
      <c r="J999" s="3" t="n">
        <v>415824</v>
      </c>
      <c r="K999" s="3" t="n">
        <v>77489</v>
      </c>
      <c r="L999" s="3" t="n">
        <v>846</v>
      </c>
      <c r="M999" s="4" t="n">
        <f aca="false">IFERROR(D999/C999,0)</f>
        <v>0.163118007939372</v>
      </c>
      <c r="N999" s="4" t="n">
        <f aca="false">IFERROR(E999/C999,0)</f>
        <v>0.398412125586431</v>
      </c>
      <c r="O999" s="5" t="n">
        <f aca="false">IFERROR(F999/MAX(C999-D999,1),0)</f>
        <v>2.96852091418715</v>
      </c>
      <c r="P999" s="5" t="n">
        <f aca="false">IFERROR(F999/C999,0)</f>
        <v>2.48430169613858</v>
      </c>
      <c r="Q999" s="5" t="n">
        <f aca="false">IFERROR(H999/C999,0)</f>
        <v>360.761349693252</v>
      </c>
      <c r="R999" s="4" t="n">
        <f aca="false">IFERROR(I999/F999,0)</f>
        <v>0.216589192330041</v>
      </c>
      <c r="S999" s="4" t="n">
        <f aca="false">IFERROR(K999/J999,0)</f>
        <v>0.186350475201047</v>
      </c>
      <c r="T999" s="6" t="s">
        <v>23</v>
      </c>
    </row>
    <row r="1000" customFormat="false" ht="15" hidden="false" customHeight="false" outlineLevel="0" collapsed="false">
      <c r="A1000" s="3" t="s">
        <v>1033</v>
      </c>
      <c r="B1000" s="3" t="s">
        <v>29</v>
      </c>
      <c r="C1000" s="3" t="n">
        <v>3609</v>
      </c>
      <c r="D1000" s="3" t="n">
        <v>330</v>
      </c>
      <c r="E1000" s="3" t="n">
        <v>1235</v>
      </c>
      <c r="F1000" s="3" t="n">
        <v>7864</v>
      </c>
      <c r="G1000" s="3" t="n">
        <v>6</v>
      </c>
      <c r="H1000" s="3" t="n">
        <v>2316653.4</v>
      </c>
      <c r="I1000" s="3" t="n">
        <v>1539</v>
      </c>
      <c r="J1000" s="3" t="n">
        <v>657252</v>
      </c>
      <c r="K1000" s="3" t="n">
        <v>180204</v>
      </c>
      <c r="L1000" s="3" t="n">
        <v>0</v>
      </c>
      <c r="M1000" s="4" t="n">
        <f aca="false">IFERROR(D1000/C1000,0)</f>
        <v>0.0914380714879468</v>
      </c>
      <c r="N1000" s="4" t="n">
        <f aca="false">IFERROR(E1000/C1000,0)</f>
        <v>0.342200055417013</v>
      </c>
      <c r="O1000" s="5" t="n">
        <f aca="false">IFERROR(F1000/MAX(C1000-D1000,1),0)</f>
        <v>2.39829216224459</v>
      </c>
      <c r="P1000" s="5" t="n">
        <f aca="false">IFERROR(F1000/C1000,0)</f>
        <v>2.17899695206428</v>
      </c>
      <c r="Q1000" s="5" t="n">
        <f aca="false">IFERROR(H1000/C1000,0)</f>
        <v>641.910058187864</v>
      </c>
      <c r="R1000" s="4" t="n">
        <f aca="false">IFERROR(I1000/F1000,0)</f>
        <v>0.195701932858596</v>
      </c>
      <c r="S1000" s="4" t="n">
        <f aca="false">IFERROR(K1000/J1000,0)</f>
        <v>0.274177940881123</v>
      </c>
      <c r="T1000" s="6" t="s">
        <v>23</v>
      </c>
    </row>
    <row r="1001" customFormat="false" ht="15" hidden="false" customHeight="false" outlineLevel="0" collapsed="false">
      <c r="A1001" s="3" t="s">
        <v>1034</v>
      </c>
      <c r="B1001" s="3" t="s">
        <v>29</v>
      </c>
      <c r="C1001" s="3" t="n">
        <v>727</v>
      </c>
      <c r="D1001" s="3" t="n">
        <v>54</v>
      </c>
      <c r="E1001" s="3" t="n">
        <v>236</v>
      </c>
      <c r="F1001" s="3" t="n">
        <v>1269</v>
      </c>
      <c r="G1001" s="3" t="n">
        <v>4</v>
      </c>
      <c r="H1001" s="3" t="n">
        <v>184853.1</v>
      </c>
      <c r="I1001" s="3" t="n">
        <v>188</v>
      </c>
      <c r="J1001" s="3" t="n">
        <v>79057</v>
      </c>
      <c r="K1001" s="3" t="n">
        <v>15345</v>
      </c>
      <c r="L1001" s="3" t="n">
        <v>0</v>
      </c>
      <c r="M1001" s="4" t="n">
        <f aca="false">IFERROR(D1001/C1001,0)</f>
        <v>0.0742778541953233</v>
      </c>
      <c r="N1001" s="4" t="n">
        <f aca="false">IFERROR(E1001/C1001,0)</f>
        <v>0.324621733149931</v>
      </c>
      <c r="O1001" s="5" t="n">
        <f aca="false">IFERROR(F1001/MAX(C1001-D1001,1),0)</f>
        <v>1.88558692421991</v>
      </c>
      <c r="P1001" s="5" t="n">
        <f aca="false">IFERROR(F1001/C1001,0)</f>
        <v>1.7455295735901</v>
      </c>
      <c r="Q1001" s="5" t="n">
        <f aca="false">IFERROR(H1001/C1001,0)</f>
        <v>254.268363136176</v>
      </c>
      <c r="R1001" s="4" t="n">
        <f aca="false">IFERROR(I1001/F1001,0)</f>
        <v>0.148148148148148</v>
      </c>
      <c r="S1001" s="4" t="n">
        <f aca="false">IFERROR(K1001/J1001,0)</f>
        <v>0.194100459162377</v>
      </c>
      <c r="T1001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5" t="s">
        <v>1</v>
      </c>
      <c r="B1" s="15" t="s">
        <v>1035</v>
      </c>
      <c r="C1" s="15" t="s">
        <v>1036</v>
      </c>
      <c r="D1" s="15" t="s">
        <v>1037</v>
      </c>
      <c r="E1" s="15" t="s">
        <v>1038</v>
      </c>
    </row>
    <row r="2" customFormat="false" ht="23.85" hidden="false" customHeight="false" outlineLevel="0" collapsed="false">
      <c r="A2" s="16" t="s">
        <v>29</v>
      </c>
      <c r="B2" s="16" t="s">
        <v>18</v>
      </c>
      <c r="C2" s="17" t="s">
        <v>1039</v>
      </c>
      <c r="D2" s="17" t="s">
        <v>1040</v>
      </c>
      <c r="E2" s="17" t="s">
        <v>1041</v>
      </c>
    </row>
    <row r="3" customFormat="false" ht="15" hidden="false" customHeight="false" outlineLevel="0" collapsed="false">
      <c r="A3" s="16" t="s">
        <v>26</v>
      </c>
      <c r="B3" s="16" t="s">
        <v>18</v>
      </c>
      <c r="C3" s="17" t="s">
        <v>1042</v>
      </c>
      <c r="D3" s="17" t="s">
        <v>1043</v>
      </c>
      <c r="E3" s="17" t="s">
        <v>1044</v>
      </c>
    </row>
    <row r="4" customFormat="false" ht="23.85" hidden="false" customHeight="false" outlineLevel="0" collapsed="false">
      <c r="A4" s="16" t="s">
        <v>22</v>
      </c>
      <c r="B4" s="16" t="s">
        <v>18</v>
      </c>
      <c r="C4" s="17" t="s">
        <v>1045</v>
      </c>
      <c r="D4" s="17" t="s">
        <v>1046</v>
      </c>
      <c r="E4" s="17" t="s">
        <v>1047</v>
      </c>
    </row>
    <row r="5" customFormat="false" ht="23.85" hidden="false" customHeight="false" outlineLevel="0" collapsed="false">
      <c r="A5" s="16" t="s">
        <v>1048</v>
      </c>
      <c r="B5" s="16" t="s">
        <v>17</v>
      </c>
      <c r="C5" s="17" t="s">
        <v>1049</v>
      </c>
      <c r="D5" s="17" t="s">
        <v>1040</v>
      </c>
      <c r="E5" s="17" t="s">
        <v>1050</v>
      </c>
    </row>
    <row r="6" customFormat="false" ht="23.85" hidden="false" customHeight="false" outlineLevel="0" collapsed="false">
      <c r="A6" s="16" t="s">
        <v>1048</v>
      </c>
      <c r="B6" s="16" t="s">
        <v>14</v>
      </c>
      <c r="C6" s="17" t="s">
        <v>1051</v>
      </c>
      <c r="D6" s="17" t="s">
        <v>1052</v>
      </c>
      <c r="E6" s="17" t="s">
        <v>1053</v>
      </c>
    </row>
    <row r="7" customFormat="false" ht="23.85" hidden="false" customHeight="false" outlineLevel="0" collapsed="false">
      <c r="A7" s="16" t="s">
        <v>1048</v>
      </c>
      <c r="B7" s="16" t="s">
        <v>15</v>
      </c>
      <c r="C7" s="17" t="s">
        <v>1054</v>
      </c>
      <c r="D7" s="17" t="s">
        <v>1055</v>
      </c>
      <c r="E7" s="17" t="s">
        <v>1056</v>
      </c>
    </row>
    <row r="8" customFormat="false" ht="23.85" hidden="false" customHeight="false" outlineLevel="0" collapsed="false">
      <c r="A8" s="16" t="s">
        <v>1057</v>
      </c>
      <c r="B8" s="16" t="s">
        <v>11</v>
      </c>
      <c r="C8" s="17" t="s">
        <v>1058</v>
      </c>
      <c r="D8" s="17" t="s">
        <v>1059</v>
      </c>
      <c r="E8" s="17" t="s">
        <v>1060</v>
      </c>
    </row>
    <row r="9" customFormat="false" ht="23.85" hidden="false" customHeight="false" outlineLevel="0" collapsed="false">
      <c r="A9" s="16" t="s">
        <v>1048</v>
      </c>
      <c r="B9" s="16" t="s">
        <v>12</v>
      </c>
      <c r="C9" s="17" t="s">
        <v>1061</v>
      </c>
      <c r="D9" s="17" t="s">
        <v>1062</v>
      </c>
      <c r="E9" s="17" t="s">
        <v>1063</v>
      </c>
    </row>
    <row r="11" customFormat="false" ht="79.5" hidden="false" customHeight="true" outlineLevel="0" collapsed="false">
      <c r="A11" s="18" t="s">
        <v>1064</v>
      </c>
      <c r="B11" s="18"/>
      <c r="C11" s="18"/>
      <c r="D11" s="18"/>
      <c r="E11" s="18"/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62"/>
  </cols>
  <sheetData>
    <row r="1" customFormat="false" ht="21.75" hidden="false" customHeight="true" outlineLevel="0" collapsed="false">
      <c r="A1" s="15" t="s">
        <v>1065</v>
      </c>
      <c r="B1" s="15" t="s">
        <v>1066</v>
      </c>
      <c r="C1" s="15" t="s">
        <v>1067</v>
      </c>
    </row>
    <row r="2" customFormat="false" ht="35.05" hidden="false" customHeight="false" outlineLevel="0" collapsed="false">
      <c r="A2" s="16" t="s">
        <v>2</v>
      </c>
      <c r="B2" s="17" t="s">
        <v>1068</v>
      </c>
      <c r="C2" s="17" t="s">
        <v>1069</v>
      </c>
    </row>
    <row r="3" customFormat="false" ht="23.85" hidden="false" customHeight="false" outlineLevel="0" collapsed="false">
      <c r="A3" s="16" t="s">
        <v>1070</v>
      </c>
      <c r="B3" s="17" t="s">
        <v>1071</v>
      </c>
      <c r="C3" s="17" t="s">
        <v>1072</v>
      </c>
    </row>
    <row r="4" customFormat="false" ht="23.85" hidden="false" customHeight="false" outlineLevel="0" collapsed="false">
      <c r="A4" s="16" t="s">
        <v>1073</v>
      </c>
      <c r="B4" s="17" t="s">
        <v>1074</v>
      </c>
      <c r="C4" s="17" t="s">
        <v>1075</v>
      </c>
    </row>
    <row r="5" customFormat="false" ht="23.85" hidden="false" customHeight="false" outlineLevel="0" collapsed="false">
      <c r="A5" s="16" t="s">
        <v>1076</v>
      </c>
      <c r="B5" s="17" t="s">
        <v>1077</v>
      </c>
      <c r="C5" s="17" t="s">
        <v>1078</v>
      </c>
    </row>
    <row r="6" customFormat="false" ht="15" hidden="false" customHeight="false" outlineLevel="0" collapsed="false">
      <c r="A6" s="16" t="s">
        <v>6</v>
      </c>
      <c r="B6" s="17" t="s">
        <v>1079</v>
      </c>
      <c r="C6" s="17" t="s">
        <v>1080</v>
      </c>
    </row>
    <row r="7" customFormat="false" ht="23.85" hidden="false" customHeight="false" outlineLevel="0" collapsed="false">
      <c r="A7" s="16" t="s">
        <v>1081</v>
      </c>
      <c r="B7" s="17" t="s">
        <v>1082</v>
      </c>
      <c r="C7" s="17" t="s">
        <v>1083</v>
      </c>
    </row>
    <row r="8" customFormat="false" ht="23.85" hidden="false" customHeight="false" outlineLevel="0" collapsed="false">
      <c r="A8" s="16" t="s">
        <v>1084</v>
      </c>
      <c r="B8" s="17" t="s">
        <v>1085</v>
      </c>
      <c r="C8" s="17" t="s">
        <v>1086</v>
      </c>
    </row>
    <row r="9" customFormat="false" ht="35.05" hidden="false" customHeight="false" outlineLevel="0" collapsed="false">
      <c r="A9" s="16" t="s">
        <v>1087</v>
      </c>
      <c r="B9" s="17" t="s">
        <v>1088</v>
      </c>
      <c r="C9" s="17" t="s">
        <v>1089</v>
      </c>
    </row>
    <row r="10" customFormat="false" ht="23.85" hidden="false" customHeight="false" outlineLevel="0" collapsed="false">
      <c r="A10" s="16" t="s">
        <v>11</v>
      </c>
      <c r="B10" s="17" t="s">
        <v>1090</v>
      </c>
      <c r="C10" s="17" t="s">
        <v>1091</v>
      </c>
    </row>
    <row r="11" customFormat="false" ht="35.05" hidden="false" customHeight="false" outlineLevel="0" collapsed="false">
      <c r="A11" s="16" t="s">
        <v>1</v>
      </c>
      <c r="B11" s="17" t="s">
        <v>1092</v>
      </c>
      <c r="C11" s="17" t="s">
        <v>1093</v>
      </c>
    </row>
    <row r="12" customFormat="false" ht="15" hidden="false" customHeight="false" outlineLevel="0" collapsed="false">
      <c r="A12" s="16" t="s">
        <v>19</v>
      </c>
      <c r="B12" s="17" t="s">
        <v>1094</v>
      </c>
      <c r="C12" s="17" t="s">
        <v>1095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2026-08-13T06:47:19Z</dcterms:created>
  <dc:creator>openpyxl</dc:creator>
  <dc:description/>
  <dc:language>en-US</dc:language>
  <cp:lastModifiedBy/>
  <dcterms:modified xsi:type="dcterms:W3CDTF">2026-08-13T06:47:20Z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